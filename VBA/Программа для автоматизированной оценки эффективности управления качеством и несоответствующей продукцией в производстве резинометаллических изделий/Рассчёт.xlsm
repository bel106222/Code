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600" yWindow="320" windowWidth="11060" windowHeight="6560"/>
  </bookViews>
  <sheets>
    <sheet name="Лист1. База" sheetId="12" r:id="rId1"/>
    <sheet name="Лист2. Расчет К1-8" sheetId="8" r:id="rId2"/>
    <sheet name="Лист3. Шкала" sheetId="14" r:id="rId3"/>
    <sheet name="Лист4. Классификация" sheetId="13" r:id="rId4"/>
    <sheet name="1" sheetId="9" r:id="rId5"/>
    <sheet name="2" sheetId="15" r:id="rId6"/>
    <sheet name="3" sheetId="16" r:id="rId7"/>
    <sheet name="4" sheetId="17" r:id="rId8"/>
    <sheet name="5" sheetId="18" r:id="rId9"/>
    <sheet name="6" sheetId="19" r:id="rId10"/>
    <sheet name="7" sheetId="20" r:id="rId11"/>
    <sheet name="8" sheetId="21" r:id="rId12"/>
    <sheet name="9" sheetId="22" r:id="rId13"/>
    <sheet name="10" sheetId="23" r:id="rId14"/>
    <sheet name="11" sheetId="24" r:id="rId15"/>
    <sheet name="12" sheetId="25" r:id="rId16"/>
    <sheet name="13" sheetId="26" r:id="rId17"/>
    <sheet name="14" sheetId="27" r:id="rId18"/>
    <sheet name="15" sheetId="28" r:id="rId19"/>
    <sheet name="16" sheetId="29" r:id="rId20"/>
    <sheet name="17" sheetId="30" r:id="rId21"/>
    <sheet name="18" sheetId="31" r:id="rId22"/>
    <sheet name="19" sheetId="32" r:id="rId23"/>
    <sheet name="20" sheetId="33" r:id="rId24"/>
    <sheet name="21" sheetId="34" r:id="rId25"/>
    <sheet name="22" sheetId="35" r:id="rId26"/>
    <sheet name="23" sheetId="36" r:id="rId27"/>
    <sheet name="24" sheetId="37" r:id="rId28"/>
    <sheet name="25" sheetId="38" r:id="rId29"/>
    <sheet name="26" sheetId="39" r:id="rId30"/>
    <sheet name="27" sheetId="40" r:id="rId31"/>
  </sheets>
  <definedNames>
    <definedName name="REPORT_HEADER">#REF!</definedName>
    <definedName name="RPN_NAME">#REF!</definedName>
    <definedName name="YEAR">#REF!</definedName>
  </definedNames>
  <calcPr calcId="145621"/>
</workbook>
</file>

<file path=xl/sharedStrings.xml><?xml version="1.0" encoding="utf-8"?>
<sst xmlns="http://schemas.openxmlformats.org/spreadsheetml/2006/main" count="1712" uniqueCount="198">
  <si>
    <t>11</t>
  </si>
  <si>
    <t>15</t>
  </si>
  <si>
    <t>Производство пластмасс и синтетических смол в первичных формах</t>
  </si>
  <si>
    <t>Производство фотопластинок и фотопленок; фотопленок для моментальных фотоснимков; химических составов и несмешанных продуктов, используемых в фотографии</t>
  </si>
  <si>
    <t>Производство красок, лаков и аналогичных материалов для нанесения покрытий, полиграфических красок и мастик</t>
  </si>
  <si>
    <t>Производство прочих основных неорганических химических веществ</t>
  </si>
  <si>
    <t>Производство прочих химических продуктов, не включенных в другие группировки</t>
  </si>
  <si>
    <t>Обработано отходов</t>
  </si>
  <si>
    <t>7</t>
  </si>
  <si>
    <t>Производство химически модифицированных животных или растительных жиров и масел (включая олифу), непищевых смесей животных или растительных жиров и масел</t>
  </si>
  <si>
    <t>Производство химических волокон</t>
  </si>
  <si>
    <t>12</t>
  </si>
  <si>
    <t>16</t>
  </si>
  <si>
    <t>Производство красителей и пигментов</t>
  </si>
  <si>
    <t>Производство мыла и моющих, чистящих и полирующих средств; парфюмерных и косметических средств</t>
  </si>
  <si>
    <t>Образование отходов за отчетный год</t>
  </si>
  <si>
    <t>Производство синтетического каучука в первичных формах</t>
  </si>
  <si>
    <t>Наличие отходов на начало отчетного года</t>
  </si>
  <si>
    <t>Наличие в организации на конец отчетного года</t>
  </si>
  <si>
    <t>8</t>
  </si>
  <si>
    <t>Производство промышленных газов</t>
  </si>
  <si>
    <t>Производство прочих основных органических химических веществ</t>
  </si>
  <si>
    <t>Производство прочих химических органических основных веществ</t>
  </si>
  <si>
    <t>Производство фосфорных минеральных или химических удобрений</t>
  </si>
  <si>
    <t>13</t>
  </si>
  <si>
    <t>17</t>
  </si>
  <si>
    <t>Производство парфюмерных и косметических средств</t>
  </si>
  <si>
    <t>Производство пестицидов и прочих агрохимических продуктов</t>
  </si>
  <si>
    <t>Производство смазочных материалов, присадок к смазочным материалам и антифризов</t>
  </si>
  <si>
    <t>Производство удобрений и азотных соединений</t>
  </si>
  <si>
    <t>9</t>
  </si>
  <si>
    <t>Производство клеев</t>
  </si>
  <si>
    <t>Количество отчитавшихся организаций</t>
  </si>
  <si>
    <t>10</t>
  </si>
  <si>
    <t>14</t>
  </si>
  <si>
    <t>Производство химических веществ и химических продуктов</t>
  </si>
  <si>
    <t>Производство взрывчатых веществ</t>
  </si>
  <si>
    <t>18</t>
  </si>
  <si>
    <t>Производство мыла и моющих, чистящих и полирующих средств</t>
  </si>
  <si>
    <t>Производство прочих красок, лаков, эмалей и аналогичных материалов для нанесения покрытий, художественных и полиграфических красок</t>
  </si>
  <si>
    <t>Производство прочих химических продуктов</t>
  </si>
  <si>
    <t>6</t>
  </si>
  <si>
    <t>Производство красок и лаков на основе полимеров</t>
  </si>
  <si>
    <t>Производство основных химических веществ, удобрений и азотных соединений, пластмасс и синтетического каучука в первичных формах</t>
  </si>
  <si>
    <t>Производство спиртов, фенолов, фенолоспиртов и их галогенированных, сульфированных, нитрованных или нитрозированных производных; производство жирных промышленных спиртов</t>
  </si>
  <si>
    <t>Поступление отходов из других организаций всего</t>
  </si>
  <si>
    <t>Поступление отходов из других организаций в т.ч. по импорту</t>
  </si>
  <si>
    <t>Утилизировано отходов всего</t>
  </si>
  <si>
    <t>Утилизировано отходов из них для повторного применения (рециклинг)</t>
  </si>
  <si>
    <t>Утилизировано отходов из них предварительно прошедших обработку</t>
  </si>
  <si>
    <t>Обезвреживание отходов всего</t>
  </si>
  <si>
    <t>Обезвреживание отходов из них предварительно прошедших обработку</t>
  </si>
  <si>
    <t>Передача отходов другим организациям для обработки</t>
  </si>
  <si>
    <t>Передача отходов другим организациям для утилизации</t>
  </si>
  <si>
    <t>Передача отходов другим организациям для обезвреживания</t>
  </si>
  <si>
    <t>Передача отходов другим организациям для хранения</t>
  </si>
  <si>
    <t>Передача отходов другим организациям для захоронения</t>
  </si>
  <si>
    <t>Размещение отходов на собственных объектах за отчетный год из них: хранение</t>
  </si>
  <si>
    <t>Размещение отходов на собственных объектах за отчетный год из них: захоронение</t>
  </si>
  <si>
    <t>К1</t>
  </si>
  <si>
    <t>К2</t>
  </si>
  <si>
    <t>К3</t>
  </si>
  <si>
    <t>К4</t>
  </si>
  <si>
    <t>К5</t>
  </si>
  <si>
    <t>К6</t>
  </si>
  <si>
    <t>К7</t>
  </si>
  <si>
    <t>К8</t>
  </si>
  <si>
    <t>Коэффициент рециклинга отходов (отношение объема возвращенных отходов в производственный цикл к объему утилизированных отходов)</t>
  </si>
  <si>
    <t>Коэффициент прироста отходов в собственном производстве  (отношение объема образованных отходов в производстве  к переходящему остатку отходов)</t>
  </si>
  <si>
    <t>Коэффициент масштабности производств по уровню отходов (количество отходов на конец периода в расчете на одно предприятие)</t>
  </si>
  <si>
    <t>Коэффициент реализации отходов (отношение  объема отходов, переданных другим организациям к сумме переходящего остатка, объему образованных отходов в организации и приобретенных отходов)</t>
  </si>
  <si>
    <t>Коэффициент хранения (захоронения) отходов на собственных полигонах (отношение размещенных отходов на собственных полигонах к сумме переходящего остатка, объему образованных отходов в организации и приобретенных отходов)</t>
  </si>
  <si>
    <t>Коэффициент приобретения отходов (отношение объема отходов от других организаций к объему образованных отходов в собственном производстве)</t>
  </si>
  <si>
    <t>Коэффициент полезного использования отходов (отношение утилизированных отходов к сумме образованных отходов в организации и приобретенных отходов)</t>
  </si>
  <si>
    <t>№ производства</t>
  </si>
  <si>
    <t>Вид производства химических веществ и химических продуктов</t>
  </si>
  <si>
    <t>1</t>
  </si>
  <si>
    <t>2</t>
  </si>
  <si>
    <t>3</t>
  </si>
  <si>
    <t>4</t>
  </si>
  <si>
    <t>5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</si>
  <si>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</si>
  <si>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</si>
  <si>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</si>
  <si>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</si>
  <si>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</si>
  <si>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</si>
  <si>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</si>
  <si>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</si>
  <si>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</si>
  <si>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Значение коэффициента</t>
  </si>
  <si>
    <t>Код группы</t>
  </si>
  <si>
    <t xml:space="preserve">Наименование коэффициента </t>
  </si>
  <si>
    <t>№</t>
  </si>
  <si>
    <t>База для расчета коэффициентов организации системы отходооборота в производстве</t>
  </si>
  <si>
    <t>Расчет коэффициентов организации системы отходооборота в производстве</t>
  </si>
  <si>
    <t>Коэффициент результативности отходооборота (отношение объема отходов на конец периода к объему отходов на начало периода)</t>
  </si>
  <si>
    <t>Коэффициент результативности  отходооборота (отношение объема отходов на конец периода к объему отходов на начало периода)</t>
  </si>
  <si>
    <t>Коды групп по результатам классификации коэффициентов организации системы отходооборота в производстве</t>
  </si>
  <si>
    <t>Характристика  организации отходооборота в производстве</t>
  </si>
  <si>
    <t>До 1,0</t>
  </si>
  <si>
    <t>Образовано отходов меньше переходящего остатка (К11)</t>
  </si>
  <si>
    <t>1,0 – 50,0</t>
  </si>
  <si>
    <t>Низкий уровень прироста отходов (К12)</t>
  </si>
  <si>
    <t>50,0 – 100,0</t>
  </si>
  <si>
    <t>Средний уровень прироста отходов (К13)</t>
  </si>
  <si>
    <t>Более 100,0</t>
  </si>
  <si>
    <t>Высокий уровень прироста отходов (К14)</t>
  </si>
  <si>
    <t>Отходы от других организаций не приобретаются (К21)</t>
  </si>
  <si>
    <t>0 – 5,0</t>
  </si>
  <si>
    <t>Низкий уровень приобретения отходов (К22)</t>
  </si>
  <si>
    <t>5,0 – 50,0</t>
  </si>
  <si>
    <t>Средний уровень приобретения отходов (К23)</t>
  </si>
  <si>
    <t>Более 50,0</t>
  </si>
  <si>
    <t>Высокий уровень приобретения отходов (К24)</t>
  </si>
  <si>
    <t>Отходы производства не утилизировались (К31)</t>
  </si>
  <si>
    <t>0 – 0,3</t>
  </si>
  <si>
    <t>Низкий уровень утилизации отходов производства (К32)</t>
  </si>
  <si>
    <t>0,3 – 0,6</t>
  </si>
  <si>
    <t>Средний уровень утилизации отходов производства (К33)</t>
  </si>
  <si>
    <t>0,6 – 1,0</t>
  </si>
  <si>
    <t>Высокий уровень утилизации отходов производства (К34)</t>
  </si>
  <si>
    <t>Рециклинг отходов не осуществлялся (К41)</t>
  </si>
  <si>
    <t>Низкий уровень рециклинга отходов производства (К42)</t>
  </si>
  <si>
    <t>Средний уровень рециклинга отходов производства (К43)</t>
  </si>
  <si>
    <t>Высокий уровень рециклинга отходов производства (К44)</t>
  </si>
  <si>
    <t>Реализация отходов другим организациям не осуществлялась (К51)</t>
  </si>
  <si>
    <t>Низкий уровень реализации отходов производства (К52)</t>
  </si>
  <si>
    <t>Средний уровень реализации отходов производства (К53)</t>
  </si>
  <si>
    <t>Высокий уровень реализации отходов производства (К54)</t>
  </si>
  <si>
    <t>Отходы на собственных полигонах не размещались (К61)</t>
  </si>
  <si>
    <t>0 – 0,1</t>
  </si>
  <si>
    <t>Низкий уровень размещения отходов на собственных полигонах (К62)</t>
  </si>
  <si>
    <t>0,1 – 0,5</t>
  </si>
  <si>
    <t>Средний уровень размещения отходов на собственных полигонах (К63)</t>
  </si>
  <si>
    <t>0,5 – 1,0</t>
  </si>
  <si>
    <t>Высокий уровень размещения отходов на собственных полигонах (К64)</t>
  </si>
  <si>
    <t>Высокий уровень результативности отходооборота (К71)</t>
  </si>
  <si>
    <t>Уровень результативности отходооборота выше среднего (К72)</t>
  </si>
  <si>
    <t>Уровень результативности отходооборота ниже среднего (К73)</t>
  </si>
  <si>
    <t>Низкий уровень результативности отходооборота (К74)</t>
  </si>
  <si>
    <t>До 10,0</t>
  </si>
  <si>
    <t>Малый удельный объем отходов (К81)</t>
  </si>
  <si>
    <t>10,0 – 100,0</t>
  </si>
  <si>
    <t>Удельный объем отходов ниже среднего (К82)</t>
  </si>
  <si>
    <t>100,0 – 1000,0</t>
  </si>
  <si>
    <t>Удельный объем отходов выше среднего (К83)</t>
  </si>
  <si>
    <t>Более 1000,0</t>
  </si>
  <si>
    <t>Большой удельный объем отходов (К84)</t>
  </si>
  <si>
    <t xml:space="preserve">Шкала значений коэффициентов для классификации </t>
  </si>
  <si>
    <t xml:space="preserve">Результаты расчета коэффициентов организации системы отходооборота в производстве. Тип производства по приоритету организации системы отходооборота </t>
  </si>
  <si>
    <t xml:space="preserve">Тип производства по приоритету организации системы отходооборота </t>
  </si>
  <si>
    <t>Код типа</t>
  </si>
  <si>
    <t>До 0,5</t>
  </si>
  <si>
    <t>1,0 – 10,0</t>
  </si>
  <si>
    <t>Более 10,0</t>
  </si>
  <si>
    <t>K13</t>
  </si>
  <si>
    <t>K22</t>
  </si>
  <si>
    <t>K33</t>
  </si>
  <si>
    <t>K44</t>
  </si>
  <si>
    <t>K53</t>
  </si>
  <si>
    <t>K62</t>
  </si>
  <si>
    <t>K73</t>
  </si>
  <si>
    <t>K82</t>
  </si>
  <si>
    <t>K12</t>
  </si>
  <si>
    <t>K21</t>
  </si>
  <si>
    <t>K31</t>
  </si>
  <si>
    <t>K41</t>
  </si>
  <si>
    <t>K54</t>
  </si>
  <si>
    <t>K61</t>
  </si>
  <si>
    <t>K71</t>
  </si>
  <si>
    <t>K81</t>
  </si>
  <si>
    <t>K11</t>
  </si>
  <si>
    <t>K32</t>
  </si>
  <si>
    <t>K52</t>
  </si>
  <si>
    <t>K84</t>
  </si>
  <si>
    <t>K14</t>
  </si>
  <si>
    <t>K83</t>
  </si>
  <si>
    <t>K74</t>
  </si>
  <si>
    <t>K42</t>
  </si>
  <si>
    <t>K72</t>
  </si>
  <si>
    <t>K24</t>
  </si>
  <si>
    <t>K34</t>
  </si>
  <si>
    <t>K43</t>
  </si>
  <si>
    <t>K63</t>
  </si>
  <si>
    <t>K23</t>
  </si>
  <si>
    <t>K64</t>
  </si>
  <si>
    <t>K51</t>
  </si>
  <si>
    <t>Приоритет на внутиорганизационное полезное использование отходов, возврат отходов в производственный цикл, Приоритет на реализацию отходов другим организациям для целей обработки, утилизации, обезвреживания, хранения, захоронения</t>
  </si>
  <si>
    <t>T2, T3</t>
  </si>
  <si>
    <t>Приоритет на реализацию отходов другим организациям для целей обработки, утилизации, обезвреживания, хранения, захоронения</t>
  </si>
  <si>
    <t>T3</t>
  </si>
  <si>
    <t>Приоритет на внутиорганизационное полезное использование отходов, возврат отходов в производственный цикл</t>
  </si>
  <si>
    <t>T2</t>
  </si>
  <si>
    <t>Приоритет не определён</t>
  </si>
  <si>
    <t>T0</t>
  </si>
  <si>
    <t>Приоритет на приобретение отходов у других предприятий для целей собственного производства, утилизации или иных целей, Приоритет на внутиорганизационное полезное использование отходов, возврат отходов в производственный цикл</t>
  </si>
  <si>
    <t>T1, 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</si>
</sst>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0"/>
    <numFmt numFmtId="165" formatCode="0.0000"/>
  </numFmts>
  <fonts count="7" x14ac:knownFonts="1">
    <font>
      <sz val="10"/>
      <name val="Arial Cyr"/>
      <charset val="204"/>
    </font>
    <font>
      <sz val="8"/>
      <name val="Arial Cyr"/>
      <family val="2"/>
      <charset val="204"/>
    </font>
    <font>
      <sz val="10"/>
      <name val="Arial"/>
      <family val="2"/>
      <charset val="204"/>
    </font>
    <font>
      <b/>
      <sz val="10"/>
      <name val="Arial Cyr"/>
      <charset val="204"/>
    </font>
    <font>
      <b/>
      <sz val="10"/>
      <name val="Arial"/>
      <family val="2"/>
      <charset val="204"/>
    </font>
    <font>
      <sz val="10"/>
      <name val="Arial Cyr"/>
      <charset val="204"/>
    </font>
    <font>
      <sz val="10"/>
      <color rgb="FF0000FF"/>
      <name val="Arial Cy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Font="0" applyAlignment="0" applyProtection="0">
      <alignment horizontal="center" vertical="center" wrapText="1"/>
      <protection locked="0" hidden="1"/>
    </xf>
  </cellStyleXfs>
  <cellXfs count="71">
    <xf numFmtId="0" fontId="0" fillId="0" borderId="0" xfId="0"/>
    <xf numFmtId="49" fontId="1" fillId="0" borderId="0" xfId="0" applyNumberFormat="1" applyFont="1" applyAlignment="1">
      <alignment wrapText="1"/>
    </xf>
    <xf numFmtId="49" fontId="4" fillId="0" borderId="1" xfId="0" applyNumberFormat="1" applyFont="1" applyFill="1" applyBorder="1" applyAlignment="1" applyProtection="1">
      <alignment horizontal="center" vertical="top" wrapText="1"/>
      <protection locked="0" hidden="1"/>
    </xf>
    <xf numFmtId="49" fontId="3" fillId="0" borderId="1" xfId="0" applyNumberFormat="1" applyFont="1" applyFill="1" applyBorder="1" applyAlignment="1" applyProtection="1">
      <alignment horizontal="center" vertical="top" wrapText="1"/>
      <protection locked="0" hidden="1"/>
    </xf>
    <xf numFmtId="49" fontId="1" fillId="0" borderId="0" xfId="0" applyNumberFormat="1" applyFont="1" applyBorder="1" applyAlignment="1">
      <alignment wrapText="1"/>
    </xf>
    <xf numFmtId="164" fontId="1" fillId="0" borderId="0" xfId="1" applyNumberFormat="1" applyFont="1" applyAlignment="1" applyProtection="1">
      <alignment horizontal="right" vertical="center" wrapText="1"/>
    </xf>
    <xf numFmtId="0" fontId="1" fillId="0" borderId="0" xfId="0" applyNumberFormat="1" applyFont="1" applyBorder="1" applyAlignment="1">
      <alignment wrapText="1"/>
    </xf>
    <xf numFmtId="0" fontId="3" fillId="0" borderId="1" xfId="0" applyNumberFormat="1" applyFont="1" applyFill="1" applyBorder="1" applyAlignment="1" applyProtection="1">
      <alignment horizontal="center" vertical="top" wrapText="1"/>
      <protection locked="0" hidden="1"/>
    </xf>
    <xf numFmtId="0" fontId="1" fillId="0" borderId="0" xfId="1" applyFont="1" applyAlignment="1" applyProtection="1">
      <alignment horizontal="center" vertical="center" wrapText="1"/>
    </xf>
    <xf numFmtId="3" fontId="1" fillId="0" borderId="0" xfId="1" applyNumberFormat="1" applyFont="1" applyAlignment="1" applyProtection="1">
      <alignment horizontal="right" vertical="center" wrapText="1"/>
    </xf>
    <xf numFmtId="0" fontId="1" fillId="0" borderId="0" xfId="1" applyFont="1" applyAlignment="1" applyProtection="1">
      <alignment horizontal="left" vertical="center" wrapText="1"/>
    </xf>
    <xf numFmtId="0" fontId="5" fillId="0" borderId="6" xfId="1" applyFont="1" applyBorder="1" applyAlignment="1" applyProtection="1">
      <alignment horizontal="left" vertical="center" wrapText="1"/>
    </xf>
    <xf numFmtId="2" fontId="1" fillId="0" borderId="7" xfId="1" applyNumberFormat="1" applyFont="1" applyBorder="1" applyAlignment="1" applyProtection="1">
      <alignment horizontal="right" vertical="center" wrapText="1"/>
    </xf>
    <xf numFmtId="2" fontId="1" fillId="0" borderId="6" xfId="1" applyNumberFormat="1" applyFont="1" applyBorder="1" applyAlignment="1" applyProtection="1">
      <alignment horizontal="right" vertical="center" wrapText="1"/>
    </xf>
    <xf numFmtId="2" fontId="1" fillId="0" borderId="8" xfId="1" applyNumberFormat="1" applyFont="1" applyBorder="1" applyAlignment="1" applyProtection="1">
      <alignment horizontal="right" vertical="center" wrapText="1"/>
    </xf>
    <xf numFmtId="2" fontId="1" fillId="0" borderId="9" xfId="1" applyNumberFormat="1" applyFont="1" applyBorder="1" applyAlignment="1" applyProtection="1">
      <alignment horizontal="right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49" fontId="2" fillId="0" borderId="3" xfId="0" applyNumberFormat="1" applyFont="1" applyFill="1" applyBorder="1" applyAlignment="1" applyProtection="1">
      <alignment horizontal="center" vertical="center" wrapText="1"/>
      <protection locked="0" hidden="1"/>
    </xf>
    <xf numFmtId="49" fontId="2" fillId="0" borderId="4" xfId="0" applyNumberFormat="1" applyFont="1" applyFill="1" applyBorder="1" applyAlignment="1" applyProtection="1">
      <alignment horizontal="center" vertical="center" wrapText="1"/>
      <protection locked="0" hidden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0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49" fontId="3" fillId="0" borderId="0" xfId="0" applyNumberFormat="1" applyFont="1" applyBorder="1" applyAlignment="1">
      <alignment horizontal="center" wrapText="1"/>
    </xf>
    <xf numFmtId="49" fontId="3" fillId="0" borderId="1" xfId="0" applyNumberFormat="1" applyFont="1" applyBorder="1" applyAlignment="1">
      <alignment horizontal="center" wrapText="1"/>
    </xf>
    <xf numFmtId="49" fontId="0" fillId="0" borderId="1" xfId="0" applyNumberFormat="1" applyFont="1" applyBorder="1" applyAlignment="1">
      <alignment horizontal="center" wrapText="1"/>
    </xf>
    <xf numFmtId="49" fontId="0" fillId="0" borderId="1" xfId="0" applyNumberFormat="1" applyFont="1" applyBorder="1" applyAlignment="1">
      <alignment horizontal="center" vertical="center" wrapText="1"/>
    </xf>
    <xf numFmtId="49" fontId="0" fillId="0" borderId="1" xfId="0" applyNumberFormat="1" applyFill="1" applyBorder="1" applyAlignment="1" applyProtection="1">
      <alignment horizontal="center" vertical="center" wrapText="1"/>
      <protection locked="0" hidden="1"/>
    </xf>
    <xf numFmtId="49" fontId="1" fillId="0" borderId="0" xfId="0" applyNumberFormat="1" applyFont="1" applyBorder="1" applyAlignment="1">
      <alignment horizontal="center" vertical="center" wrapText="1"/>
    </xf>
    <xf numFmtId="0" fontId="3" fillId="0" borderId="0" xfId="1" applyFont="1" applyBorder="1" applyAlignment="1" applyProtection="1">
      <alignment horizontal="left" vertical="center"/>
    </xf>
    <xf numFmtId="0" fontId="3" fillId="0" borderId="0" xfId="1" applyFont="1" applyAlignment="1" applyProtection="1">
      <alignment horizontal="left" vertical="center" wrapText="1"/>
    </xf>
    <xf numFmtId="164" fontId="3" fillId="0" borderId="0" xfId="1" applyNumberFormat="1" applyFont="1" applyAlignment="1" applyProtection="1">
      <alignment horizontal="right" vertical="center" wrapText="1"/>
    </xf>
    <xf numFmtId="3" fontId="3" fillId="0" borderId="0" xfId="1" applyNumberFormat="1" applyFont="1" applyAlignment="1" applyProtection="1">
      <alignment horizontal="right" vertical="center" wrapText="1"/>
    </xf>
    <xf numFmtId="49" fontId="3" fillId="0" borderId="0" xfId="0" applyNumberFormat="1" applyFont="1" applyBorder="1" applyAlignment="1">
      <alignment wrapText="1"/>
    </xf>
    <xf numFmtId="0" fontId="3" fillId="0" borderId="0" xfId="0" applyNumberFormat="1" applyFont="1" applyBorder="1" applyAlignment="1">
      <alignment wrapText="1"/>
    </xf>
    <xf numFmtId="0" fontId="3" fillId="0" borderId="1" xfId="1" applyFont="1" applyBorder="1" applyAlignment="1" applyProtection="1">
      <alignment horizontal="center" vertical="center" wrapText="1"/>
    </xf>
    <xf numFmtId="49" fontId="3" fillId="0" borderId="1" xfId="0" applyNumberFormat="1" applyFont="1" applyBorder="1" applyAlignment="1">
      <alignment horizontal="left" vertical="top" wrapText="1"/>
    </xf>
    <xf numFmtId="164" fontId="5" fillId="0" borderId="0" xfId="1" applyNumberFormat="1" applyFont="1" applyAlignment="1" applyProtection="1">
      <alignment horizontal="right" vertical="center" wrapText="1"/>
    </xf>
    <xf numFmtId="3" fontId="5" fillId="0" borderId="0" xfId="1" applyNumberFormat="1" applyFont="1" applyAlignment="1" applyProtection="1">
      <alignment horizontal="right" vertical="center" wrapText="1"/>
    </xf>
    <xf numFmtId="49" fontId="0" fillId="0" borderId="0" xfId="0" applyNumberFormat="1" applyFont="1" applyBorder="1" applyAlignment="1">
      <alignment wrapText="1"/>
    </xf>
    <xf numFmtId="0" fontId="0" fillId="0" borderId="0" xfId="0" applyNumberFormat="1" applyFont="1" applyBorder="1" applyAlignment="1">
      <alignment wrapText="1"/>
    </xf>
    <xf numFmtId="0" fontId="5" fillId="0" borderId="1" xfId="1" applyFont="1" applyBorder="1" applyAlignment="1" applyProtection="1">
      <alignment horizontal="left" vertical="center" wrapText="1"/>
    </xf>
    <xf numFmtId="0" fontId="3" fillId="0" borderId="0" xfId="1" applyFont="1" applyAlignment="1" applyProtection="1">
      <alignment horizontal="right" vertical="center" wrapText="1"/>
    </xf>
    <xf numFmtId="49" fontId="3" fillId="0" borderId="1" xfId="0" applyNumberFormat="1" applyFont="1" applyBorder="1" applyAlignment="1">
      <alignment horizontal="center" vertical="center" wrapText="1"/>
    </xf>
    <xf numFmtId="49" fontId="3" fillId="0" borderId="1" xfId="0" applyNumberFormat="1" applyFont="1" applyFill="1" applyBorder="1" applyAlignment="1" applyProtection="1">
      <alignment horizontal="center" vertical="center" wrapText="1"/>
      <protection locked="0" hidden="1"/>
    </xf>
    <xf numFmtId="0" fontId="3" fillId="0" borderId="0" xfId="1" applyFont="1" applyAlignment="1" applyProtection="1">
      <alignment horizontal="left" vertical="center"/>
    </xf>
    <xf numFmtId="49" fontId="3" fillId="0" borderId="0" xfId="0" applyNumberFormat="1" applyFont="1" applyBorder="1" applyAlignment="1"/>
    <xf numFmtId="0" fontId="2" fillId="0" borderId="0" xfId="0" applyFont="1"/>
    <xf numFmtId="0" fontId="2" fillId="0" borderId="1" xfId="0" applyFont="1" applyBorder="1" applyAlignment="1">
      <alignment horizontal="justify" vertical="top" wrapText="1"/>
    </xf>
    <xf numFmtId="0" fontId="2" fillId="0" borderId="11" xfId="0" applyFont="1" applyBorder="1" applyAlignment="1">
      <alignment horizontal="justify" vertical="top" wrapText="1"/>
    </xf>
    <xf numFmtId="0" fontId="2" fillId="0" borderId="12" xfId="0" applyFont="1" applyBorder="1" applyAlignment="1">
      <alignment horizontal="justify" vertical="top" wrapText="1"/>
    </xf>
    <xf numFmtId="0" fontId="2" fillId="0" borderId="14" xfId="0" applyFont="1" applyBorder="1" applyAlignment="1">
      <alignment horizontal="justify" vertical="top" wrapText="1"/>
    </xf>
    <xf numFmtId="0" fontId="2" fillId="0" borderId="16" xfId="0" applyFont="1" applyBorder="1" applyAlignment="1">
      <alignment horizontal="justify" vertical="top" wrapText="1"/>
    </xf>
    <xf numFmtId="0" fontId="2" fillId="0" borderId="17" xfId="0" applyFont="1" applyBorder="1" applyAlignment="1">
      <alignment horizontal="justify" vertical="top" wrapText="1"/>
    </xf>
    <xf numFmtId="0" fontId="5" fillId="0" borderId="8" xfId="1" applyFont="1" applyBorder="1" applyAlignment="1" applyProtection="1">
      <alignment horizontal="left" vertical="center" wrapText="1"/>
    </xf>
    <xf numFmtId="2" fontId="1" fillId="0" borderId="1" xfId="1" applyNumberFormat="1" applyFont="1" applyBorder="1" applyAlignment="1" applyProtection="1">
      <alignment horizontal="right" vertical="center" wrapText="1"/>
      <protection locked="0" hidden="1"/>
    </xf>
    <xf numFmtId="165" fontId="1" fillId="0" borderId="1" xfId="0" applyNumberFormat="1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0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1" xfId="1" applyFont="1" applyBorder="1" applyAlignment="1" applyProtection="1">
      <alignment vertical="center" wrapText="1"/>
    </xf>
    <xf numFmtId="164" fontId="5" fillId="0" borderId="1" xfId="1" applyNumberFormat="1" applyFont="1" applyBorder="1" applyAlignment="1" applyProtection="1">
      <alignment vertical="center" wrapText="1"/>
    </xf>
    <xf numFmtId="0" fontId="5" fillId="0" borderId="1" xfId="1" applyFont="1" applyBorder="1" applyAlignment="1" applyProtection="1">
      <alignment horizontal="center" vertical="center" wrapText="1"/>
    </xf>
    <xf numFmtId="164" fontId="5" fillId="0" borderId="1" xfId="1" applyNumberFormat="1" applyFont="1" applyBorder="1" applyAlignment="1" applyProtection="1">
      <alignment horizontal="center" vertical="center" wrapText="1"/>
    </xf>
    <xf numFmtId="0" fontId="3" fillId="0" borderId="1" xfId="0" applyNumberFormat="1" applyFont="1" applyFill="1" applyBorder="1" applyAlignment="1" applyProtection="1">
      <alignment horizontal="center" vertical="center" wrapText="1"/>
      <protection locked="0" hidden="1"/>
    </xf>
    <xf numFmtId="165" fontId="5" fillId="0" borderId="1" xfId="1" applyNumberFormat="1" applyFont="1" applyBorder="1" applyAlignment="1" applyProtection="1">
      <alignment horizontal="center" vertical="center" wrapText="1"/>
    </xf>
    <xf numFmtId="4" fontId="5" fillId="0" borderId="1" xfId="1" applyNumberFormat="1" applyFont="1" applyBorder="1" applyAlignment="1" applyProtection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</cellXfs>
  <cellStyles count="2">
    <cellStyle name="Обычный" xfId="0" builtinId="0"/>
    <cellStyle name="Строка отчета" xfId="1"/>
  </cellStyles>
  <dxfs count="96"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0</xdr:row>
          <xdr:rowOff>63500</xdr:rowOff>
        </xdr:from>
        <xdr:to>
          <xdr:col>4</xdr:col>
          <xdr:colOff>1085850</xdr:colOff>
          <xdr:row>0</xdr:row>
          <xdr:rowOff>260350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IL30"/>
  <sheetViews>
    <sheetView tabSelected="1" workbookViewId="0">
      <selection activeCell="E5" sqref="E5"/>
    </sheetView>
  </sheetViews>
  <sheetFormatPr defaultColWidth="9.1796875" defaultRowHeight="13" x14ac:dyDescent="0.3"/>
  <cols>
    <col min="1" max="1" width="5.453125" style="22" customWidth="1"/>
    <col min="2" max="2" width="46.1796875" style="10" customWidth="1"/>
    <col min="3" max="3" width="17.54296875" style="5" customWidth="1"/>
    <col min="4" max="4" width="16.7265625" style="5" customWidth="1"/>
    <col min="5" max="5" width="16.81640625" style="5" customWidth="1"/>
    <col min="6" max="6" width="14.26953125" style="5" customWidth="1"/>
    <col min="7" max="7" width="16.453125" style="5" customWidth="1"/>
    <col min="8" max="8" width="14.1796875" style="5" customWidth="1"/>
    <col min="9" max="9" width="15.453125" style="5" customWidth="1"/>
    <col min="10" max="10" width="15.1796875" style="5" customWidth="1"/>
    <col min="11" max="11" width="14.81640625" style="5" customWidth="1"/>
    <col min="12" max="12" width="16.7265625" style="5" customWidth="1"/>
    <col min="13" max="16" width="16.81640625" style="5" customWidth="1"/>
    <col min="17" max="17" width="16.453125" style="5" customWidth="1"/>
    <col min="18" max="18" width="17.54296875" style="5" bestFit="1" customWidth="1"/>
    <col min="19" max="19" width="15" style="5" bestFit="1" customWidth="1"/>
    <col min="20" max="20" width="17.1796875" style="5" customWidth="1"/>
    <col min="21" max="21" width="12.54296875" style="9" customWidth="1"/>
    <col min="22" max="22" width="11.81640625" style="4" customWidth="1"/>
    <col min="23" max="16384" width="9.1796875" style="4"/>
  </cols>
  <sheetData>
    <row r="1" spans="1:246" ht="25.5" customHeight="1" x14ac:dyDescent="0.3">
      <c r="B1" s="44" t="s">
        <v>94</v>
      </c>
    </row>
    <row r="2" spans="1:246" s="27" customFormat="1" ht="97.5" customHeight="1" x14ac:dyDescent="0.25">
      <c r="A2" s="25" t="s">
        <v>74</v>
      </c>
      <c r="B2" s="26" t="s">
        <v>75</v>
      </c>
      <c r="C2" s="16" t="s">
        <v>17</v>
      </c>
      <c r="D2" s="16" t="s">
        <v>15</v>
      </c>
      <c r="E2" s="17" t="s">
        <v>45</v>
      </c>
      <c r="F2" s="18" t="s">
        <v>46</v>
      </c>
      <c r="G2" s="16" t="s">
        <v>7</v>
      </c>
      <c r="H2" s="17" t="s">
        <v>47</v>
      </c>
      <c r="I2" s="19" t="s">
        <v>48</v>
      </c>
      <c r="J2" s="20" t="s">
        <v>49</v>
      </c>
      <c r="K2" s="17" t="s">
        <v>50</v>
      </c>
      <c r="L2" s="17" t="s">
        <v>51</v>
      </c>
      <c r="M2" s="16" t="s">
        <v>52</v>
      </c>
      <c r="N2" s="16" t="s">
        <v>53</v>
      </c>
      <c r="O2" s="16" t="s">
        <v>54</v>
      </c>
      <c r="P2" s="16" t="s">
        <v>55</v>
      </c>
      <c r="Q2" s="16" t="s">
        <v>56</v>
      </c>
      <c r="R2" s="17" t="s">
        <v>57</v>
      </c>
      <c r="S2" s="20" t="s">
        <v>58</v>
      </c>
      <c r="T2" s="16" t="s">
        <v>18</v>
      </c>
      <c r="U2" s="21" t="s">
        <v>32</v>
      </c>
    </row>
    <row r="3" spans="1:246" x14ac:dyDescent="0.3">
      <c r="A3" s="23"/>
      <c r="B3" s="3"/>
      <c r="C3" s="2">
        <v>1</v>
      </c>
      <c r="D3" s="2">
        <v>2</v>
      </c>
      <c r="E3" s="2">
        <v>3</v>
      </c>
      <c r="F3" s="2">
        <v>4</v>
      </c>
      <c r="G3" s="2">
        <v>5</v>
      </c>
      <c r="H3" s="2" t="s">
        <v>41</v>
      </c>
      <c r="I3" s="2" t="s">
        <v>8</v>
      </c>
      <c r="J3" s="2" t="s">
        <v>19</v>
      </c>
      <c r="K3" s="2" t="s">
        <v>30</v>
      </c>
      <c r="L3" s="2" t="s">
        <v>33</v>
      </c>
      <c r="M3" s="2" t="s">
        <v>0</v>
      </c>
      <c r="N3" s="2" t="s">
        <v>11</v>
      </c>
      <c r="O3" s="2" t="s">
        <v>24</v>
      </c>
      <c r="P3" s="2" t="s">
        <v>34</v>
      </c>
      <c r="Q3" s="2" t="s">
        <v>1</v>
      </c>
      <c r="R3" s="2" t="s">
        <v>12</v>
      </c>
      <c r="S3" s="2" t="s">
        <v>25</v>
      </c>
      <c r="T3" s="2" t="s">
        <v>37</v>
      </c>
      <c r="U3" s="7">
        <v>19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</row>
    <row r="4" spans="1:246" ht="12.5" x14ac:dyDescent="0.25">
      <c r="A4" s="24" t="s">
        <v>76</v>
      </c>
      <c r="B4" s="11" t="s">
        <v>36</v>
      </c>
      <c r="C4" s="12">
        <v>845.60699999999997</v>
      </c>
      <c r="D4" s="13">
        <v>44391.42</v>
      </c>
      <c r="E4" s="13">
        <v>4225.8819999999996</v>
      </c>
      <c r="F4" s="13">
        <v>0</v>
      </c>
      <c r="G4" s="14">
        <v>52.317999999999998</v>
      </c>
      <c r="H4" s="12">
        <v>16838.592000000001</v>
      </c>
      <c r="I4" s="13">
        <v>16704.324000000001</v>
      </c>
      <c r="J4" s="14">
        <v>52.317999999999998</v>
      </c>
      <c r="K4" s="12">
        <v>14542.154</v>
      </c>
      <c r="L4" s="14">
        <v>0</v>
      </c>
      <c r="M4" s="15">
        <v>73.412000000000006</v>
      </c>
      <c r="N4" s="12">
        <v>7636.8370000000004</v>
      </c>
      <c r="O4" s="13">
        <v>438.221</v>
      </c>
      <c r="P4" s="13">
        <v>1045.463</v>
      </c>
      <c r="Q4" s="13">
        <v>7013.3370000000004</v>
      </c>
      <c r="R4" s="13">
        <v>303.62599999999998</v>
      </c>
      <c r="S4" s="13">
        <v>647.78</v>
      </c>
      <c r="T4" s="14">
        <v>1227.1130000000001</v>
      </c>
      <c r="U4" s="54">
        <v>37</v>
      </c>
    </row>
    <row r="5" spans="1:246" ht="12.5" x14ac:dyDescent="0.25">
      <c r="A5" s="24" t="s">
        <v>77</v>
      </c>
      <c r="B5" s="11" t="s">
        <v>31</v>
      </c>
      <c r="C5" s="12">
        <v>77.884</v>
      </c>
      <c r="D5" s="13">
        <v>3251.4189999999999</v>
      </c>
      <c r="E5" s="13">
        <v>0</v>
      </c>
      <c r="F5" s="13">
        <v>0</v>
      </c>
      <c r="G5" s="14">
        <v>0</v>
      </c>
      <c r="H5" s="12">
        <v>0</v>
      </c>
      <c r="I5" s="13">
        <v>0</v>
      </c>
      <c r="J5" s="14">
        <v>0</v>
      </c>
      <c r="K5" s="12">
        <v>0</v>
      </c>
      <c r="L5" s="14">
        <v>0</v>
      </c>
      <c r="M5" s="15">
        <v>83.734999999999999</v>
      </c>
      <c r="N5" s="12">
        <v>452.94</v>
      </c>
      <c r="O5" s="13">
        <v>1140.8789999999999</v>
      </c>
      <c r="P5" s="13">
        <v>80.7</v>
      </c>
      <c r="Q5" s="13">
        <v>1535.7070000000001</v>
      </c>
      <c r="R5" s="13">
        <v>0</v>
      </c>
      <c r="S5" s="13">
        <v>0</v>
      </c>
      <c r="T5" s="14">
        <v>35.341999999999999</v>
      </c>
      <c r="U5" s="54">
        <v>21</v>
      </c>
    </row>
    <row r="6" spans="1:246" ht="12.5" x14ac:dyDescent="0.25">
      <c r="A6" s="24" t="s">
        <v>78</v>
      </c>
      <c r="B6" s="11" t="s">
        <v>13</v>
      </c>
      <c r="C6" s="12">
        <v>19423432.116999999</v>
      </c>
      <c r="D6" s="13">
        <v>284882.609</v>
      </c>
      <c r="E6" s="13">
        <v>1364791.585</v>
      </c>
      <c r="F6" s="13">
        <v>0</v>
      </c>
      <c r="G6" s="14">
        <v>0</v>
      </c>
      <c r="H6" s="12">
        <v>6687.259</v>
      </c>
      <c r="I6" s="13">
        <v>6127.5039999999999</v>
      </c>
      <c r="J6" s="14">
        <v>0</v>
      </c>
      <c r="K6" s="12">
        <v>153.89400000000001</v>
      </c>
      <c r="L6" s="14">
        <v>0</v>
      </c>
      <c r="M6" s="15">
        <v>56.845999999999997</v>
      </c>
      <c r="N6" s="12">
        <v>11182.334999999999</v>
      </c>
      <c r="O6" s="13">
        <v>113.438</v>
      </c>
      <c r="P6" s="13">
        <v>8.7999999999999995E-2</v>
      </c>
      <c r="Q6" s="13">
        <v>2192.5030000000002</v>
      </c>
      <c r="R6" s="13">
        <v>1643937.3810000001</v>
      </c>
      <c r="S6" s="13">
        <v>0</v>
      </c>
      <c r="T6" s="14">
        <v>21052719.947999999</v>
      </c>
      <c r="U6" s="54">
        <v>22</v>
      </c>
    </row>
    <row r="7" spans="1:246" ht="12.5" x14ac:dyDescent="0.25">
      <c r="A7" s="24" t="s">
        <v>79</v>
      </c>
      <c r="B7" s="11" t="s">
        <v>42</v>
      </c>
      <c r="C7" s="12">
        <v>2.3740000000000001</v>
      </c>
      <c r="D7" s="13">
        <v>4190.1390000000001</v>
      </c>
      <c r="E7" s="13">
        <v>0.08</v>
      </c>
      <c r="F7" s="13">
        <v>0</v>
      </c>
      <c r="G7" s="14">
        <v>0</v>
      </c>
      <c r="H7" s="12">
        <v>585.48299999999995</v>
      </c>
      <c r="I7" s="13">
        <v>529.72799999999995</v>
      </c>
      <c r="J7" s="14">
        <v>0</v>
      </c>
      <c r="K7" s="12">
        <v>0</v>
      </c>
      <c r="L7" s="14">
        <v>0</v>
      </c>
      <c r="M7" s="15">
        <v>74.908000000000001</v>
      </c>
      <c r="N7" s="12">
        <v>843.64800000000002</v>
      </c>
      <c r="O7" s="13">
        <v>894.12699999999995</v>
      </c>
      <c r="P7" s="13">
        <v>54.688000000000002</v>
      </c>
      <c r="Q7" s="13">
        <v>1736.866</v>
      </c>
      <c r="R7" s="13">
        <v>0</v>
      </c>
      <c r="S7" s="13">
        <v>0</v>
      </c>
      <c r="T7" s="14">
        <v>2.8730000000000002</v>
      </c>
      <c r="U7" s="54">
        <v>54</v>
      </c>
    </row>
    <row r="8" spans="1:246" ht="37.5" x14ac:dyDescent="0.25">
      <c r="A8" s="24" t="s">
        <v>80</v>
      </c>
      <c r="B8" s="11" t="s">
        <v>4</v>
      </c>
      <c r="C8" s="12">
        <v>80669.455000000002</v>
      </c>
      <c r="D8" s="13">
        <v>11857.413</v>
      </c>
      <c r="E8" s="13">
        <v>246.17</v>
      </c>
      <c r="F8" s="13">
        <v>0</v>
      </c>
      <c r="G8" s="14">
        <v>0</v>
      </c>
      <c r="H8" s="12">
        <v>856.51</v>
      </c>
      <c r="I8" s="13">
        <v>662.197</v>
      </c>
      <c r="J8" s="14">
        <v>0</v>
      </c>
      <c r="K8" s="12">
        <v>0</v>
      </c>
      <c r="L8" s="14">
        <v>0</v>
      </c>
      <c r="M8" s="15">
        <v>175.22900000000001</v>
      </c>
      <c r="N8" s="12">
        <v>4463.1580000000004</v>
      </c>
      <c r="O8" s="13">
        <v>900.88</v>
      </c>
      <c r="P8" s="13">
        <v>149.53299999999999</v>
      </c>
      <c r="Q8" s="13">
        <v>5530.7290000000003</v>
      </c>
      <c r="R8" s="13">
        <v>5.8259999999999996</v>
      </c>
      <c r="S8" s="13">
        <v>1.5</v>
      </c>
      <c r="T8" s="14">
        <v>80695.498999999996</v>
      </c>
      <c r="U8" s="54">
        <v>117</v>
      </c>
    </row>
    <row r="9" spans="1:246" ht="25" x14ac:dyDescent="0.25">
      <c r="A9" s="24" t="s">
        <v>41</v>
      </c>
      <c r="B9" s="11" t="s">
        <v>38</v>
      </c>
      <c r="C9" s="12">
        <v>3.3239999999999998</v>
      </c>
      <c r="D9" s="13">
        <v>2371.703</v>
      </c>
      <c r="E9" s="13">
        <v>92.052999999999997</v>
      </c>
      <c r="F9" s="13">
        <v>0</v>
      </c>
      <c r="G9" s="14">
        <v>0</v>
      </c>
      <c r="H9" s="12">
        <v>92.748000000000005</v>
      </c>
      <c r="I9" s="13">
        <v>0</v>
      </c>
      <c r="J9" s="14">
        <v>0</v>
      </c>
      <c r="K9" s="12">
        <v>0</v>
      </c>
      <c r="L9" s="14">
        <v>0</v>
      </c>
      <c r="M9" s="15">
        <v>22.26</v>
      </c>
      <c r="N9" s="12">
        <v>144.74</v>
      </c>
      <c r="O9" s="13">
        <v>1154.8330000000001</v>
      </c>
      <c r="P9" s="13">
        <v>2.0790000000000002</v>
      </c>
      <c r="Q9" s="13">
        <v>1046.403</v>
      </c>
      <c r="R9" s="13">
        <v>0</v>
      </c>
      <c r="S9" s="13">
        <v>0</v>
      </c>
      <c r="T9" s="14">
        <v>4.0170000000000003</v>
      </c>
      <c r="U9" s="54">
        <v>39</v>
      </c>
    </row>
    <row r="10" spans="1:246" ht="37.5" x14ac:dyDescent="0.25">
      <c r="A10" s="24" t="s">
        <v>8</v>
      </c>
      <c r="B10" s="11" t="s">
        <v>14</v>
      </c>
      <c r="C10" s="12">
        <v>0.253</v>
      </c>
      <c r="D10" s="13">
        <v>28205.428</v>
      </c>
      <c r="E10" s="13">
        <v>0</v>
      </c>
      <c r="F10" s="13">
        <v>0</v>
      </c>
      <c r="G10" s="14">
        <v>0</v>
      </c>
      <c r="H10" s="12">
        <v>50</v>
      </c>
      <c r="I10" s="13">
        <v>50</v>
      </c>
      <c r="J10" s="14">
        <v>0</v>
      </c>
      <c r="K10" s="12">
        <v>0</v>
      </c>
      <c r="L10" s="14">
        <v>0</v>
      </c>
      <c r="M10" s="15">
        <v>714.11</v>
      </c>
      <c r="N10" s="12">
        <v>2092.0990000000002</v>
      </c>
      <c r="O10" s="13">
        <v>23783.018</v>
      </c>
      <c r="P10" s="13">
        <v>29.372</v>
      </c>
      <c r="Q10" s="13">
        <v>1306.9649999999999</v>
      </c>
      <c r="R10" s="13">
        <v>0</v>
      </c>
      <c r="S10" s="13">
        <v>0</v>
      </c>
      <c r="T10" s="14">
        <v>230.11500000000001</v>
      </c>
      <c r="U10" s="54">
        <v>28</v>
      </c>
    </row>
    <row r="11" spans="1:246" ht="37.5" x14ac:dyDescent="0.25">
      <c r="A11" s="24" t="s">
        <v>19</v>
      </c>
      <c r="B11" s="11" t="s">
        <v>43</v>
      </c>
      <c r="C11" s="12">
        <v>0.11</v>
      </c>
      <c r="D11" s="13">
        <v>12657.816000000001</v>
      </c>
      <c r="E11" s="13">
        <v>154.63900000000001</v>
      </c>
      <c r="F11" s="13">
        <v>0</v>
      </c>
      <c r="G11" s="14">
        <v>0</v>
      </c>
      <c r="H11" s="12">
        <v>34.409999999999997</v>
      </c>
      <c r="I11" s="13">
        <v>0</v>
      </c>
      <c r="J11" s="14">
        <v>0</v>
      </c>
      <c r="K11" s="12">
        <v>0</v>
      </c>
      <c r="L11" s="14">
        <v>0</v>
      </c>
      <c r="M11" s="15">
        <v>76.97</v>
      </c>
      <c r="N11" s="12">
        <v>315.75799999999998</v>
      </c>
      <c r="O11" s="13">
        <v>1571.7070000000001</v>
      </c>
      <c r="P11" s="13">
        <v>11.56</v>
      </c>
      <c r="Q11" s="13">
        <v>10801.227999999999</v>
      </c>
      <c r="R11" s="13">
        <v>3.5000000000000003E-2</v>
      </c>
      <c r="S11" s="13">
        <v>0</v>
      </c>
      <c r="T11" s="14">
        <v>0.93200000000000005</v>
      </c>
      <c r="U11" s="54">
        <v>34</v>
      </c>
    </row>
    <row r="12" spans="1:246" ht="25" x14ac:dyDescent="0.25">
      <c r="A12" s="24" t="s">
        <v>30</v>
      </c>
      <c r="B12" s="11" t="s">
        <v>26</v>
      </c>
      <c r="C12" s="12">
        <v>104.41800000000001</v>
      </c>
      <c r="D12" s="13">
        <v>29465.714</v>
      </c>
      <c r="E12" s="13">
        <v>0</v>
      </c>
      <c r="F12" s="13">
        <v>0</v>
      </c>
      <c r="G12" s="14">
        <v>0</v>
      </c>
      <c r="H12" s="12">
        <v>1.7999999999999999E-2</v>
      </c>
      <c r="I12" s="13">
        <v>1.7999999999999999E-2</v>
      </c>
      <c r="J12" s="14">
        <v>0</v>
      </c>
      <c r="K12" s="12">
        <v>0</v>
      </c>
      <c r="L12" s="14">
        <v>0</v>
      </c>
      <c r="M12" s="15">
        <v>494.66199999999998</v>
      </c>
      <c r="N12" s="12">
        <v>15961.784</v>
      </c>
      <c r="O12" s="13">
        <v>6710.5159999999996</v>
      </c>
      <c r="P12" s="13">
        <v>1395.037</v>
      </c>
      <c r="Q12" s="13">
        <v>4998.8549999999996</v>
      </c>
      <c r="R12" s="13">
        <v>0</v>
      </c>
      <c r="S12" s="13">
        <v>0</v>
      </c>
      <c r="T12" s="14">
        <v>9.26</v>
      </c>
      <c r="U12" s="54">
        <v>78</v>
      </c>
    </row>
    <row r="13" spans="1:246" ht="25" x14ac:dyDescent="0.25">
      <c r="A13" s="24" t="s">
        <v>33</v>
      </c>
      <c r="B13" s="11" t="s">
        <v>27</v>
      </c>
      <c r="C13" s="12">
        <v>22.512</v>
      </c>
      <c r="D13" s="13">
        <v>5803.4830000000002</v>
      </c>
      <c r="E13" s="13">
        <v>0</v>
      </c>
      <c r="F13" s="13">
        <v>0</v>
      </c>
      <c r="G13" s="14">
        <v>0</v>
      </c>
      <c r="H13" s="12">
        <v>586.72</v>
      </c>
      <c r="I13" s="13">
        <v>0</v>
      </c>
      <c r="J13" s="14">
        <v>0</v>
      </c>
      <c r="K13" s="12">
        <v>1298.1569999999999</v>
      </c>
      <c r="L13" s="14">
        <v>0</v>
      </c>
      <c r="M13" s="15">
        <v>31.11</v>
      </c>
      <c r="N13" s="12">
        <v>221.422</v>
      </c>
      <c r="O13" s="13">
        <v>59.564999999999998</v>
      </c>
      <c r="P13" s="13">
        <v>137.952</v>
      </c>
      <c r="Q13" s="13">
        <v>3409.9079999999999</v>
      </c>
      <c r="R13" s="13">
        <v>1E-3</v>
      </c>
      <c r="S13" s="13">
        <v>76.317999999999998</v>
      </c>
      <c r="T13" s="14">
        <v>4.843</v>
      </c>
      <c r="U13" s="54">
        <v>24</v>
      </c>
    </row>
    <row r="14" spans="1:246" ht="25" x14ac:dyDescent="0.25">
      <c r="A14" s="24" t="s">
        <v>0</v>
      </c>
      <c r="B14" s="11" t="s">
        <v>2</v>
      </c>
      <c r="C14" s="12">
        <v>1126454.044</v>
      </c>
      <c r="D14" s="13">
        <v>336557.38199999998</v>
      </c>
      <c r="E14" s="13">
        <v>33320.436999999998</v>
      </c>
      <c r="F14" s="13">
        <v>0</v>
      </c>
      <c r="G14" s="14">
        <v>149258.71</v>
      </c>
      <c r="H14" s="12">
        <v>36964.258000000002</v>
      </c>
      <c r="I14" s="13">
        <v>31442.776999999998</v>
      </c>
      <c r="J14" s="14">
        <v>317.82</v>
      </c>
      <c r="K14" s="12">
        <v>159181.46299999999</v>
      </c>
      <c r="L14" s="14">
        <v>148938.79999999999</v>
      </c>
      <c r="M14" s="15">
        <v>491.84</v>
      </c>
      <c r="N14" s="12">
        <v>53248.648999999998</v>
      </c>
      <c r="O14" s="13">
        <v>10674.607</v>
      </c>
      <c r="P14" s="13">
        <v>1076.3679999999999</v>
      </c>
      <c r="Q14" s="13">
        <v>73672.293999999994</v>
      </c>
      <c r="R14" s="13">
        <v>5921.174</v>
      </c>
      <c r="S14" s="13">
        <v>15695.88</v>
      </c>
      <c r="T14" s="14">
        <v>1145326.5049999999</v>
      </c>
      <c r="U14" s="54">
        <v>125</v>
      </c>
    </row>
    <row r="15" spans="1:246" ht="12.5" x14ac:dyDescent="0.25">
      <c r="A15" s="24" t="s">
        <v>11</v>
      </c>
      <c r="B15" s="11" t="s">
        <v>20</v>
      </c>
      <c r="C15" s="12">
        <v>366.28300000000002</v>
      </c>
      <c r="D15" s="13">
        <v>33221.567000000003</v>
      </c>
      <c r="E15" s="13">
        <v>18.600000000000001</v>
      </c>
      <c r="F15" s="13">
        <v>0</v>
      </c>
      <c r="G15" s="14">
        <v>0</v>
      </c>
      <c r="H15" s="12">
        <v>64.350999999999999</v>
      </c>
      <c r="I15" s="13">
        <v>0.40100000000000002</v>
      </c>
      <c r="J15" s="14">
        <v>0</v>
      </c>
      <c r="K15" s="12">
        <v>0.6</v>
      </c>
      <c r="L15" s="14">
        <v>0</v>
      </c>
      <c r="M15" s="15">
        <v>3913.2559999999999</v>
      </c>
      <c r="N15" s="12">
        <v>27105.571</v>
      </c>
      <c r="O15" s="13">
        <v>558.61099999999999</v>
      </c>
      <c r="P15" s="13">
        <v>27.164000000000001</v>
      </c>
      <c r="Q15" s="13">
        <v>1905.9179999999999</v>
      </c>
      <c r="R15" s="13">
        <v>4.0000000000000001E-3</v>
      </c>
      <c r="S15" s="13">
        <v>0</v>
      </c>
      <c r="T15" s="14">
        <v>30.978000000000002</v>
      </c>
      <c r="U15" s="54">
        <v>93</v>
      </c>
    </row>
    <row r="16" spans="1:246" ht="37.5" x14ac:dyDescent="0.25">
      <c r="A16" s="24" t="s">
        <v>24</v>
      </c>
      <c r="B16" s="11" t="s">
        <v>39</v>
      </c>
      <c r="C16" s="12">
        <v>62.640999999999998</v>
      </c>
      <c r="D16" s="13">
        <v>5959.0150000000003</v>
      </c>
      <c r="E16" s="13">
        <v>293.35000000000002</v>
      </c>
      <c r="F16" s="13">
        <v>0</v>
      </c>
      <c r="G16" s="14">
        <v>0</v>
      </c>
      <c r="H16" s="12">
        <v>292.45</v>
      </c>
      <c r="I16" s="13">
        <v>0</v>
      </c>
      <c r="J16" s="14">
        <v>0</v>
      </c>
      <c r="K16" s="12">
        <v>1119.6849999999999</v>
      </c>
      <c r="L16" s="14">
        <v>0</v>
      </c>
      <c r="M16" s="15">
        <v>156.05199999999999</v>
      </c>
      <c r="N16" s="12">
        <v>1101.989</v>
      </c>
      <c r="O16" s="13">
        <v>1548.0070000000001</v>
      </c>
      <c r="P16" s="13">
        <v>31.902000000000001</v>
      </c>
      <c r="Q16" s="13">
        <v>1984.1959999999999</v>
      </c>
      <c r="R16" s="13">
        <v>0</v>
      </c>
      <c r="S16" s="13">
        <v>0</v>
      </c>
      <c r="T16" s="14">
        <v>80.724999999999994</v>
      </c>
      <c r="U16" s="54">
        <v>51</v>
      </c>
    </row>
    <row r="17" spans="1:21" ht="25" x14ac:dyDescent="0.25">
      <c r="A17" s="24" t="s">
        <v>34</v>
      </c>
      <c r="B17" s="11" t="s">
        <v>5</v>
      </c>
      <c r="C17" s="12">
        <v>106178980.91599999</v>
      </c>
      <c r="D17" s="13">
        <v>3205670.7749999999</v>
      </c>
      <c r="E17" s="13">
        <v>783.10500000000002</v>
      </c>
      <c r="F17" s="13">
        <v>0</v>
      </c>
      <c r="G17" s="14">
        <v>0</v>
      </c>
      <c r="H17" s="12">
        <v>349184.57799999998</v>
      </c>
      <c r="I17" s="13">
        <v>320173.90500000003</v>
      </c>
      <c r="J17" s="14">
        <v>0</v>
      </c>
      <c r="K17" s="12">
        <v>71871.59</v>
      </c>
      <c r="L17" s="14">
        <v>0</v>
      </c>
      <c r="M17" s="15">
        <v>8997.3340000000007</v>
      </c>
      <c r="N17" s="12">
        <v>42021.760999999999</v>
      </c>
      <c r="O17" s="13">
        <v>1416.318</v>
      </c>
      <c r="P17" s="13">
        <v>17.952999999999999</v>
      </c>
      <c r="Q17" s="13">
        <v>43592.97</v>
      </c>
      <c r="R17" s="13">
        <v>2662777.9890000001</v>
      </c>
      <c r="S17" s="13">
        <v>20862.654999999999</v>
      </c>
      <c r="T17" s="14">
        <v>108847469.63699999</v>
      </c>
      <c r="U17" s="54">
        <v>90</v>
      </c>
    </row>
    <row r="18" spans="1:21" ht="25" x14ac:dyDescent="0.25">
      <c r="A18" s="24" t="s">
        <v>1</v>
      </c>
      <c r="B18" s="11" t="s">
        <v>21</v>
      </c>
      <c r="C18" s="12">
        <v>595940.04</v>
      </c>
      <c r="D18" s="13">
        <v>54101.41</v>
      </c>
      <c r="E18" s="13">
        <v>70.099999999999994</v>
      </c>
      <c r="F18" s="13">
        <v>0</v>
      </c>
      <c r="G18" s="14">
        <v>70.331000000000003</v>
      </c>
      <c r="H18" s="12">
        <v>43.720999999999997</v>
      </c>
      <c r="I18" s="13">
        <v>0.09</v>
      </c>
      <c r="J18" s="14">
        <v>43.631</v>
      </c>
      <c r="K18" s="12">
        <v>45286.790999999997</v>
      </c>
      <c r="L18" s="14">
        <v>26.7</v>
      </c>
      <c r="M18" s="15">
        <v>58.045000000000002</v>
      </c>
      <c r="N18" s="12">
        <v>1880.43</v>
      </c>
      <c r="O18" s="13">
        <v>609.62099999999998</v>
      </c>
      <c r="P18" s="13">
        <v>1.5529999999999999</v>
      </c>
      <c r="Q18" s="13">
        <v>5854.5519999999997</v>
      </c>
      <c r="R18" s="13">
        <v>0</v>
      </c>
      <c r="S18" s="13">
        <v>510.07900000000001</v>
      </c>
      <c r="T18" s="14">
        <v>595866.75899999996</v>
      </c>
      <c r="U18" s="54">
        <v>33</v>
      </c>
    </row>
    <row r="19" spans="1:21" ht="25" x14ac:dyDescent="0.25">
      <c r="A19" s="24" t="s">
        <v>12</v>
      </c>
      <c r="B19" s="11" t="s">
        <v>22</v>
      </c>
      <c r="C19" s="12">
        <v>81214.03</v>
      </c>
      <c r="D19" s="13">
        <v>111137.088</v>
      </c>
      <c r="E19" s="13">
        <v>1969.2550000000001</v>
      </c>
      <c r="F19" s="13">
        <v>0</v>
      </c>
      <c r="G19" s="14">
        <v>0.06</v>
      </c>
      <c r="H19" s="12">
        <v>31940.080999999998</v>
      </c>
      <c r="I19" s="13">
        <v>31334.822</v>
      </c>
      <c r="J19" s="14">
        <v>0.06</v>
      </c>
      <c r="K19" s="12">
        <v>23109.654999999999</v>
      </c>
      <c r="L19" s="14">
        <v>0</v>
      </c>
      <c r="M19" s="15">
        <v>8404.4369999999999</v>
      </c>
      <c r="N19" s="12">
        <v>19968.219000000001</v>
      </c>
      <c r="O19" s="13">
        <v>9316.82</v>
      </c>
      <c r="P19" s="13">
        <v>173.26400000000001</v>
      </c>
      <c r="Q19" s="13">
        <v>18195.152999999998</v>
      </c>
      <c r="R19" s="13">
        <v>2750.0819999999999</v>
      </c>
      <c r="S19" s="13">
        <v>4608.8059999999996</v>
      </c>
      <c r="T19" s="14">
        <v>78603.934999999998</v>
      </c>
      <c r="U19" s="54">
        <v>81</v>
      </c>
    </row>
    <row r="20" spans="1:21" ht="12.5" x14ac:dyDescent="0.25">
      <c r="A20" s="24" t="s">
        <v>25</v>
      </c>
      <c r="B20" s="11" t="s">
        <v>40</v>
      </c>
      <c r="C20" s="12">
        <v>19.321999999999999</v>
      </c>
      <c r="D20" s="13">
        <v>2099.9250000000002</v>
      </c>
      <c r="E20" s="13">
        <v>143476</v>
      </c>
      <c r="F20" s="13">
        <v>0</v>
      </c>
      <c r="G20" s="14">
        <v>0</v>
      </c>
      <c r="H20" s="12">
        <v>143476</v>
      </c>
      <c r="I20" s="13">
        <v>143476</v>
      </c>
      <c r="J20" s="14">
        <v>0</v>
      </c>
      <c r="K20" s="12">
        <v>0</v>
      </c>
      <c r="L20" s="14">
        <v>0</v>
      </c>
      <c r="M20" s="15">
        <v>0</v>
      </c>
      <c r="N20" s="12">
        <v>513.21400000000006</v>
      </c>
      <c r="O20" s="13">
        <v>40.6</v>
      </c>
      <c r="P20" s="13">
        <v>0</v>
      </c>
      <c r="Q20" s="13">
        <v>1556.271</v>
      </c>
      <c r="R20" s="13">
        <v>0</v>
      </c>
      <c r="S20" s="13">
        <v>0</v>
      </c>
      <c r="T20" s="14">
        <v>9.1620000000000008</v>
      </c>
      <c r="U20" s="54">
        <v>15</v>
      </c>
    </row>
    <row r="21" spans="1:21" ht="25" x14ac:dyDescent="0.25">
      <c r="A21" s="24" t="s">
        <v>37</v>
      </c>
      <c r="B21" s="11" t="s">
        <v>6</v>
      </c>
      <c r="C21" s="12">
        <v>15699.419</v>
      </c>
      <c r="D21" s="13">
        <v>19431.638999999999</v>
      </c>
      <c r="E21" s="13">
        <v>7934.8630000000003</v>
      </c>
      <c r="F21" s="13">
        <v>0</v>
      </c>
      <c r="G21" s="14">
        <v>2.3109999999999999</v>
      </c>
      <c r="H21" s="12">
        <v>7810.1610000000001</v>
      </c>
      <c r="I21" s="13">
        <v>3343.7890000000002</v>
      </c>
      <c r="J21" s="14">
        <v>0.10299999999999999</v>
      </c>
      <c r="K21" s="12">
        <v>851.24900000000002</v>
      </c>
      <c r="L21" s="14">
        <v>2.2080000000000002</v>
      </c>
      <c r="M21" s="15">
        <v>687.14599999999996</v>
      </c>
      <c r="N21" s="12">
        <v>4318.6719999999996</v>
      </c>
      <c r="O21" s="13">
        <v>2300.8670000000002</v>
      </c>
      <c r="P21" s="13">
        <v>365.36099999999999</v>
      </c>
      <c r="Q21" s="13">
        <v>9958.3960000000006</v>
      </c>
      <c r="R21" s="13">
        <v>29.379000000000001</v>
      </c>
      <c r="S21" s="13">
        <v>1297.0509999999999</v>
      </c>
      <c r="T21" s="14">
        <v>15477.019</v>
      </c>
      <c r="U21" s="54">
        <v>155</v>
      </c>
    </row>
    <row r="22" spans="1:21" ht="25" x14ac:dyDescent="0.25">
      <c r="A22" s="24" t="s">
        <v>81</v>
      </c>
      <c r="B22" s="11" t="s">
        <v>16</v>
      </c>
      <c r="C22" s="12">
        <v>25154.315999999999</v>
      </c>
      <c r="D22" s="13">
        <v>166685.84099999999</v>
      </c>
      <c r="E22" s="13">
        <v>0</v>
      </c>
      <c r="F22" s="13">
        <v>0</v>
      </c>
      <c r="G22" s="14">
        <v>0</v>
      </c>
      <c r="H22" s="12">
        <v>12526.593999999999</v>
      </c>
      <c r="I22" s="13">
        <v>12526.593999999999</v>
      </c>
      <c r="J22" s="14">
        <v>0</v>
      </c>
      <c r="K22" s="12">
        <v>3167.9670000000001</v>
      </c>
      <c r="L22" s="14">
        <v>0</v>
      </c>
      <c r="M22" s="15">
        <v>1122.325</v>
      </c>
      <c r="N22" s="12">
        <v>83154.457999999999</v>
      </c>
      <c r="O22" s="13">
        <v>1004.544</v>
      </c>
      <c r="P22" s="13">
        <v>0</v>
      </c>
      <c r="Q22" s="13">
        <v>18677.579000000002</v>
      </c>
      <c r="R22" s="13">
        <v>27302.284</v>
      </c>
      <c r="S22" s="13">
        <v>20223.368999999999</v>
      </c>
      <c r="T22" s="14">
        <v>51963.321000000004</v>
      </c>
      <c r="U22" s="54">
        <v>11</v>
      </c>
    </row>
    <row r="23" spans="1:21" ht="25" x14ac:dyDescent="0.25">
      <c r="A23" s="24" t="s">
        <v>82</v>
      </c>
      <c r="B23" s="11" t="s">
        <v>28</v>
      </c>
      <c r="C23" s="12">
        <v>465.03800000000001</v>
      </c>
      <c r="D23" s="13">
        <v>498.62099999999998</v>
      </c>
      <c r="E23" s="13">
        <v>6899.99</v>
      </c>
      <c r="F23" s="13">
        <v>0</v>
      </c>
      <c r="G23" s="14">
        <v>644.74199999999996</v>
      </c>
      <c r="H23" s="12">
        <v>5028.5150000000003</v>
      </c>
      <c r="I23" s="13">
        <v>2247.98</v>
      </c>
      <c r="J23" s="14">
        <v>644.74199999999996</v>
      </c>
      <c r="K23" s="12">
        <v>122.07</v>
      </c>
      <c r="L23" s="14">
        <v>0</v>
      </c>
      <c r="M23" s="15">
        <v>1520.9929999999999</v>
      </c>
      <c r="N23" s="12">
        <v>18.001000000000001</v>
      </c>
      <c r="O23" s="13">
        <v>13.837999999999999</v>
      </c>
      <c r="P23" s="13">
        <v>0.90400000000000003</v>
      </c>
      <c r="Q23" s="13">
        <v>393.59800000000001</v>
      </c>
      <c r="R23" s="13">
        <v>0</v>
      </c>
      <c r="S23" s="13">
        <v>0</v>
      </c>
      <c r="T23" s="14">
        <v>765.73</v>
      </c>
      <c r="U23" s="54">
        <v>45</v>
      </c>
    </row>
    <row r="24" spans="1:21" ht="50" x14ac:dyDescent="0.25">
      <c r="A24" s="24" t="s">
        <v>83</v>
      </c>
      <c r="B24" s="11" t="s">
        <v>44</v>
      </c>
      <c r="C24" s="12">
        <v>183000</v>
      </c>
      <c r="D24" s="13">
        <v>172.208</v>
      </c>
      <c r="E24" s="13">
        <v>0</v>
      </c>
      <c r="F24" s="13">
        <v>0</v>
      </c>
      <c r="G24" s="14">
        <v>0</v>
      </c>
      <c r="H24" s="12">
        <v>11</v>
      </c>
      <c r="I24" s="13">
        <v>11</v>
      </c>
      <c r="J24" s="14">
        <v>0</v>
      </c>
      <c r="K24" s="12">
        <v>0</v>
      </c>
      <c r="L24" s="14">
        <v>0</v>
      </c>
      <c r="M24" s="15">
        <v>0</v>
      </c>
      <c r="N24" s="12">
        <v>1.39</v>
      </c>
      <c r="O24" s="13">
        <v>0.2</v>
      </c>
      <c r="P24" s="13">
        <v>0</v>
      </c>
      <c r="Q24" s="13">
        <v>159.61799999999999</v>
      </c>
      <c r="R24" s="13">
        <v>0</v>
      </c>
      <c r="S24" s="13">
        <v>0</v>
      </c>
      <c r="T24" s="14">
        <v>183000</v>
      </c>
      <c r="U24" s="54">
        <v>4</v>
      </c>
    </row>
    <row r="25" spans="1:21" ht="12.5" x14ac:dyDescent="0.25">
      <c r="A25" s="24" t="s">
        <v>84</v>
      </c>
      <c r="B25" s="11" t="s">
        <v>29</v>
      </c>
      <c r="C25" s="12">
        <v>757303264.91900003</v>
      </c>
      <c r="D25" s="13">
        <v>41571500.976000004</v>
      </c>
      <c r="E25" s="13">
        <v>181662.75599999999</v>
      </c>
      <c r="F25" s="13">
        <v>0</v>
      </c>
      <c r="G25" s="14">
        <v>15107.941999999999</v>
      </c>
      <c r="H25" s="12">
        <v>18156193.927999999</v>
      </c>
      <c r="I25" s="13">
        <v>160971.85500000001</v>
      </c>
      <c r="J25" s="14">
        <v>15107.941999999999</v>
      </c>
      <c r="K25" s="12">
        <v>32182.901000000002</v>
      </c>
      <c r="L25" s="14">
        <v>0</v>
      </c>
      <c r="M25" s="15">
        <v>25642.008999999998</v>
      </c>
      <c r="N25" s="12">
        <v>1239244.9069999999</v>
      </c>
      <c r="O25" s="13">
        <v>8663.7870000000003</v>
      </c>
      <c r="P25" s="13">
        <v>247.22</v>
      </c>
      <c r="Q25" s="13">
        <v>109563.871</v>
      </c>
      <c r="R25" s="13">
        <v>23927705.730999999</v>
      </c>
      <c r="S25" s="13">
        <v>462103.47499999998</v>
      </c>
      <c r="T25" s="14">
        <v>779022586.55299997</v>
      </c>
      <c r="U25" s="54">
        <v>40</v>
      </c>
    </row>
    <row r="26" spans="1:21" ht="25" x14ac:dyDescent="0.25">
      <c r="A26" s="24" t="s">
        <v>85</v>
      </c>
      <c r="B26" s="11" t="s">
        <v>23</v>
      </c>
      <c r="C26" s="12">
        <v>504.11900000000003</v>
      </c>
      <c r="D26" s="13">
        <v>13080.397999999999</v>
      </c>
      <c r="E26" s="13">
        <v>6.77</v>
      </c>
      <c r="F26" s="13">
        <v>0</v>
      </c>
      <c r="G26" s="14">
        <v>0</v>
      </c>
      <c r="H26" s="12">
        <v>0</v>
      </c>
      <c r="I26" s="13">
        <v>0</v>
      </c>
      <c r="J26" s="14">
        <v>0</v>
      </c>
      <c r="K26" s="12">
        <v>0</v>
      </c>
      <c r="L26" s="14">
        <v>0</v>
      </c>
      <c r="M26" s="15">
        <v>0</v>
      </c>
      <c r="N26" s="12">
        <v>3433.3809999999999</v>
      </c>
      <c r="O26" s="13">
        <v>1.669</v>
      </c>
      <c r="P26" s="13">
        <v>0.24</v>
      </c>
      <c r="Q26" s="13">
        <v>3.4079999999999999</v>
      </c>
      <c r="R26" s="13">
        <v>0</v>
      </c>
      <c r="S26" s="13">
        <v>9441.0190000000002</v>
      </c>
      <c r="T26" s="14">
        <v>711.57</v>
      </c>
      <c r="U26" s="54">
        <v>2</v>
      </c>
    </row>
    <row r="27" spans="1:21" ht="50" x14ac:dyDescent="0.25">
      <c r="A27" s="24" t="s">
        <v>86</v>
      </c>
      <c r="B27" s="11" t="s">
        <v>3</v>
      </c>
      <c r="C27" s="12">
        <v>45.412999999999997</v>
      </c>
      <c r="D27" s="13">
        <v>549.47500000000002</v>
      </c>
      <c r="E27" s="13">
        <v>20.911000000000001</v>
      </c>
      <c r="F27" s="13">
        <v>0</v>
      </c>
      <c r="G27" s="14">
        <v>0</v>
      </c>
      <c r="H27" s="12">
        <v>0</v>
      </c>
      <c r="I27" s="13">
        <v>0</v>
      </c>
      <c r="J27" s="14">
        <v>0</v>
      </c>
      <c r="K27" s="12">
        <v>0</v>
      </c>
      <c r="L27" s="14">
        <v>0</v>
      </c>
      <c r="M27" s="15">
        <v>0</v>
      </c>
      <c r="N27" s="12">
        <v>215.578</v>
      </c>
      <c r="O27" s="13">
        <v>310.69900000000001</v>
      </c>
      <c r="P27" s="13">
        <v>0</v>
      </c>
      <c r="Q27" s="13">
        <v>70.144999999999996</v>
      </c>
      <c r="R27" s="13">
        <v>0</v>
      </c>
      <c r="S27" s="13">
        <v>0</v>
      </c>
      <c r="T27" s="14">
        <v>19.376999999999999</v>
      </c>
      <c r="U27" s="54">
        <v>4</v>
      </c>
    </row>
    <row r="28" spans="1:21" ht="50" x14ac:dyDescent="0.25">
      <c r="A28" s="24" t="s">
        <v>87</v>
      </c>
      <c r="B28" s="11" t="s">
        <v>9</v>
      </c>
      <c r="C28" s="12">
        <v>12.026</v>
      </c>
      <c r="D28" s="13">
        <v>60.744</v>
      </c>
      <c r="E28" s="13">
        <v>2310.4340000000002</v>
      </c>
      <c r="F28" s="13">
        <v>0</v>
      </c>
      <c r="G28" s="14">
        <v>11.346</v>
      </c>
      <c r="H28" s="12">
        <v>2277.27</v>
      </c>
      <c r="I28" s="13">
        <v>0</v>
      </c>
      <c r="J28" s="14">
        <v>11.346</v>
      </c>
      <c r="K28" s="12">
        <v>0</v>
      </c>
      <c r="L28" s="14">
        <v>0</v>
      </c>
      <c r="M28" s="15">
        <v>0</v>
      </c>
      <c r="N28" s="12">
        <v>45.043999999999997</v>
      </c>
      <c r="O28" s="13">
        <v>0</v>
      </c>
      <c r="P28" s="13">
        <v>0</v>
      </c>
      <c r="Q28" s="13">
        <v>60.2</v>
      </c>
      <c r="R28" s="13">
        <v>0</v>
      </c>
      <c r="S28" s="13">
        <v>0</v>
      </c>
      <c r="T28" s="14">
        <v>0.69</v>
      </c>
      <c r="U28" s="54">
        <v>3</v>
      </c>
    </row>
    <row r="29" spans="1:21" ht="25" x14ac:dyDescent="0.25">
      <c r="A29" s="24" t="s">
        <v>88</v>
      </c>
      <c r="B29" s="11" t="s">
        <v>35</v>
      </c>
      <c r="C29" s="12">
        <v>0.623</v>
      </c>
      <c r="D29" s="13">
        <v>1797.498</v>
      </c>
      <c r="E29" s="13">
        <v>1208.6420000000001</v>
      </c>
      <c r="F29" s="13">
        <v>0</v>
      </c>
      <c r="G29" s="14">
        <v>1260.0889999999999</v>
      </c>
      <c r="H29" s="12">
        <v>1262.684</v>
      </c>
      <c r="I29" s="13">
        <v>3.0000000000000001E-3</v>
      </c>
      <c r="J29" s="14">
        <v>1260.0889999999999</v>
      </c>
      <c r="K29" s="12">
        <v>0</v>
      </c>
      <c r="L29" s="14">
        <v>0</v>
      </c>
      <c r="M29" s="15">
        <v>340.19</v>
      </c>
      <c r="N29" s="12">
        <v>698.90899999999999</v>
      </c>
      <c r="O29" s="13">
        <v>35.274000000000001</v>
      </c>
      <c r="P29" s="13">
        <v>109.379</v>
      </c>
      <c r="Q29" s="13">
        <v>330.03699999999998</v>
      </c>
      <c r="R29" s="13">
        <v>0</v>
      </c>
      <c r="S29" s="13">
        <v>224.994</v>
      </c>
      <c r="T29" s="14">
        <v>5.2960000000000003</v>
      </c>
      <c r="U29" s="54">
        <v>16</v>
      </c>
    </row>
    <row r="30" spans="1:21" ht="12.5" x14ac:dyDescent="0.25">
      <c r="A30" s="24" t="s">
        <v>89</v>
      </c>
      <c r="B30" s="11" t="s">
        <v>10</v>
      </c>
      <c r="C30" s="12">
        <v>126.73699999999999</v>
      </c>
      <c r="D30" s="13">
        <v>8358.348</v>
      </c>
      <c r="E30" s="13">
        <v>0</v>
      </c>
      <c r="F30" s="13">
        <v>0</v>
      </c>
      <c r="G30" s="14">
        <v>0</v>
      </c>
      <c r="H30" s="12">
        <v>435.149</v>
      </c>
      <c r="I30" s="13">
        <v>435.149</v>
      </c>
      <c r="J30" s="14">
        <v>0</v>
      </c>
      <c r="K30" s="12">
        <v>114.863</v>
      </c>
      <c r="L30" s="14">
        <v>0</v>
      </c>
      <c r="M30" s="15">
        <v>698.46799999999996</v>
      </c>
      <c r="N30" s="12">
        <v>1081.069</v>
      </c>
      <c r="O30" s="13">
        <v>2055.5050000000001</v>
      </c>
      <c r="P30" s="13">
        <v>2.9140000000000001</v>
      </c>
      <c r="Q30" s="13">
        <v>3816.8989999999999</v>
      </c>
      <c r="R30" s="13">
        <v>0</v>
      </c>
      <c r="S30" s="13">
        <v>11.009</v>
      </c>
      <c r="T30" s="14">
        <v>269.209</v>
      </c>
      <c r="U30" s="54">
        <v>18</v>
      </c>
    </row>
  </sheetData>
  <conditionalFormatting sqref="B4:U63195">
    <cfRule type="expression" dxfId="95" priority="7" stopIfTrue="1">
      <formula>#REF!=1</formula>
    </cfRule>
    <cfRule type="expression" dxfId="94" priority="8" stopIfTrue="1">
      <formula>#REF!=2</formula>
    </cfRule>
    <cfRule type="expression" dxfId="93" priority="9" stopIfTrue="1">
      <formula>#REF!=10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4</xdr:col>
                    <xdr:colOff>88900</xdr:colOff>
                    <xdr:row>0</xdr:row>
                    <xdr:rowOff>63500</xdr:rowOff>
                  </from>
                  <to>
                    <xdr:col>4</xdr:col>
                    <xdr:colOff>1085850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A30"/>
  <sheetViews>
    <sheetView workbookViewId="0">
      <pane xSplit="2" ySplit="3" topLeftCell="C4" activePane="bottomRight" state="frozen"/>
      <selection pane="topRight" activeCell="E1" sqref="E1"/>
      <selection pane="bottomLeft" activeCell="A4" sqref="A4"/>
      <selection pane="bottomRight" activeCell="B4" sqref="B4"/>
    </sheetView>
  </sheetViews>
  <sheetFormatPr defaultColWidth="9.1796875" defaultRowHeight="10" x14ac:dyDescent="0.2"/>
  <cols>
    <col min="1" max="1" width="6" style="8" customWidth="1"/>
    <col min="2" max="2" width="56.453125" style="10" customWidth="1"/>
    <col min="3" max="6" width="21.1796875" style="4" customWidth="1"/>
    <col min="7" max="7" width="24.54296875" style="4" customWidth="1"/>
    <col min="8" max="8" width="25.81640625" style="4" customWidth="1"/>
    <col min="9" max="9" width="21.1796875" style="4" customWidth="1"/>
    <col min="10" max="10" width="21.1796875" style="6" customWidth="1"/>
    <col min="11" max="11" width="11.81640625" style="4" customWidth="1"/>
    <col min="12" max="16384" width="9.1796875" style="4"/>
  </cols>
  <sheetData>
    <row r="1" spans="1:235" ht="22.5" customHeight="1" x14ac:dyDescent="0.2">
      <c r="B1" s="44" t="s">
        <v>95</v>
      </c>
    </row>
    <row r="2" spans="1:235" ht="141" customHeight="1" x14ac:dyDescent="0.2">
      <c r="A2" s="42" t="s">
        <v>74</v>
      </c>
      <c r="B2" s="43" t="s">
        <v>75</v>
      </c>
      <c r="C2" s="42" t="s">
        <v>68</v>
      </c>
      <c r="D2" s="42" t="s">
        <v>72</v>
      </c>
      <c r="E2" s="42" t="s">
        <v>73</v>
      </c>
      <c r="F2" s="42" t="s">
        <v>67</v>
      </c>
      <c r="G2" s="42" t="s">
        <v>70</v>
      </c>
      <c r="H2" s="42" t="s">
        <v>71</v>
      </c>
      <c r="I2" s="42" t="s">
        <v>96</v>
      </c>
      <c r="J2" s="42" t="s">
        <v>69</v>
      </c>
    </row>
    <row r="3" spans="1:235" ht="13" x14ac:dyDescent="0.2">
      <c r="A3" s="3"/>
      <c r="B3" s="3"/>
      <c r="C3" s="7" t="s">
        <v>59</v>
      </c>
      <c r="D3" s="7" t="s">
        <v>60</v>
      </c>
      <c r="E3" s="7" t="s">
        <v>61</v>
      </c>
      <c r="F3" s="7" t="s">
        <v>62</v>
      </c>
      <c r="G3" s="7" t="s">
        <v>63</v>
      </c>
      <c r="H3" s="7" t="s">
        <v>64</v>
      </c>
      <c r="I3" s="7" t="s">
        <v>65</v>
      </c>
      <c r="J3" s="7" t="s">
        <v>66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</row>
    <row r="4" spans="1:235" ht="12.5" x14ac:dyDescent="0.25">
      <c r="A4" s="24" t="s">
        <v>76</v>
      </c>
      <c r="B4" s="11" t="s">
        <v>36</v>
      </c>
      <c r="C4" s="55">
        <v>52.496514338220948</v>
      </c>
      <c r="D4" s="55">
        <v>9.5195918490555156E-2</v>
      </c>
      <c r="E4" s="55">
        <v>0.34634978304637309</v>
      </c>
      <c r="F4" s="55">
        <v>0.99202617415992977</v>
      </c>
      <c r="G4" s="55">
        <v>0.32766511973648782</v>
      </c>
      <c r="H4" s="55">
        <v>1.9234736072639803E-2</v>
      </c>
      <c r="I4" s="55">
        <v>1.4511623011635431</v>
      </c>
      <c r="J4" s="56">
        <v>33.165216216216216</v>
      </c>
    </row>
    <row r="5" spans="1:235" ht="12.5" x14ac:dyDescent="0.25">
      <c r="A5" s="24" t="s">
        <v>77</v>
      </c>
      <c r="B5" s="53" t="s">
        <v>31</v>
      </c>
      <c r="C5" s="55">
        <v>41.746944173386062</v>
      </c>
      <c r="D5" s="55">
        <v>0</v>
      </c>
      <c r="E5" s="55">
        <v>0</v>
      </c>
      <c r="F5" s="55">
        <v>0</v>
      </c>
      <c r="G5" s="55">
        <v>0.98938456487739335</v>
      </c>
      <c r="H5" s="55">
        <v>0</v>
      </c>
      <c r="I5" s="55">
        <v>0.45377741256227205</v>
      </c>
      <c r="J5" s="56">
        <v>1.682952380952381</v>
      </c>
    </row>
    <row r="6" spans="1:235" ht="12.5" x14ac:dyDescent="0.25">
      <c r="A6" s="24" t="s">
        <v>78</v>
      </c>
      <c r="B6" s="53" t="s">
        <v>13</v>
      </c>
      <c r="C6" s="55">
        <v>1.4666955215945682E-2</v>
      </c>
      <c r="D6" s="55">
        <v>4.7907156908970876</v>
      </c>
      <c r="E6" s="55">
        <v>4.0536846756299566E-3</v>
      </c>
      <c r="F6" s="55">
        <v>0.91629530125870706</v>
      </c>
      <c r="G6" s="55">
        <v>6.4277234690025289E-4</v>
      </c>
      <c r="H6" s="55">
        <v>7.8011155865610443E-2</v>
      </c>
      <c r="I6" s="55">
        <v>1.0838825919737427</v>
      </c>
      <c r="J6" s="56">
        <v>956941.81581818173</v>
      </c>
    </row>
    <row r="7" spans="1:235" ht="12.5" x14ac:dyDescent="0.25">
      <c r="A7" s="24" t="s">
        <v>79</v>
      </c>
      <c r="B7" s="53" t="s">
        <v>42</v>
      </c>
      <c r="C7" s="55">
        <v>1765.0122156697557</v>
      </c>
      <c r="D7" s="55">
        <v>1.9092445381883514E-5</v>
      </c>
      <c r="E7" s="55">
        <v>0.13972610978089689</v>
      </c>
      <c r="F7" s="55">
        <v>0.90477093271708997</v>
      </c>
      <c r="G7" s="55">
        <v>0.85966775215242686</v>
      </c>
      <c r="H7" s="55">
        <v>0</v>
      </c>
      <c r="I7" s="55">
        <v>1.2101937657961248</v>
      </c>
      <c r="J7" s="56">
        <v>5.3203703703703704E-2</v>
      </c>
    </row>
    <row r="8" spans="1:235" ht="25" x14ac:dyDescent="0.25">
      <c r="A8" s="24" t="s">
        <v>80</v>
      </c>
      <c r="B8" s="53" t="s">
        <v>4</v>
      </c>
      <c r="C8" s="55">
        <v>0.14698764234864362</v>
      </c>
      <c r="D8" s="55">
        <v>2.076085230395534E-2</v>
      </c>
      <c r="E8" s="55">
        <v>7.0764995786784787E-2</v>
      </c>
      <c r="F8" s="55">
        <v>0.77313399726798282</v>
      </c>
      <c r="G8" s="55">
        <v>0.12093523335950258</v>
      </c>
      <c r="H8" s="55">
        <v>7.8966908467522633E-5</v>
      </c>
      <c r="I8" s="55">
        <v>1.000322848344519</v>
      </c>
      <c r="J8" s="56">
        <v>689.70511965811966</v>
      </c>
    </row>
    <row r="9" spans="1:235" ht="12.5" x14ac:dyDescent="0.25">
      <c r="A9" s="24" t="s">
        <v>41</v>
      </c>
      <c r="B9" s="53" t="s">
        <v>38</v>
      </c>
      <c r="C9" s="55">
        <v>713.50872442839955</v>
      </c>
      <c r="D9" s="55">
        <v>3.8813038563428895E-2</v>
      </c>
      <c r="E9" s="55">
        <v>3.7644961595222903E-2</v>
      </c>
      <c r="F9" s="55">
        <v>0</v>
      </c>
      <c r="G9" s="55">
        <v>0.96077751836178804</v>
      </c>
      <c r="H9" s="55">
        <v>0</v>
      </c>
      <c r="I9" s="55">
        <v>1.2084837545126355</v>
      </c>
      <c r="J9" s="56">
        <v>0.10300000000000001</v>
      </c>
    </row>
    <row r="10" spans="1:235" ht="25" x14ac:dyDescent="0.25">
      <c r="A10" s="24" t="s">
        <v>8</v>
      </c>
      <c r="B10" s="53" t="s">
        <v>14</v>
      </c>
      <c r="C10" s="55">
        <v>111483.90513833992</v>
      </c>
      <c r="D10" s="55">
        <v>0</v>
      </c>
      <c r="E10" s="55">
        <v>1.7727084304482103E-3</v>
      </c>
      <c r="F10" s="55">
        <v>1</v>
      </c>
      <c r="G10" s="55">
        <v>0.99006877373391555</v>
      </c>
      <c r="H10" s="55">
        <v>0</v>
      </c>
      <c r="I10" s="55">
        <v>909.54545454545462</v>
      </c>
      <c r="J10" s="56">
        <v>8.2183928571428577</v>
      </c>
    </row>
    <row r="11" spans="1:235" ht="37.5" x14ac:dyDescent="0.25">
      <c r="A11" s="24" t="s">
        <v>19</v>
      </c>
      <c r="B11" s="53" t="s">
        <v>43</v>
      </c>
      <c r="C11" s="55">
        <v>115071.05454545455</v>
      </c>
      <c r="D11" s="55">
        <v>1.2216878488358498E-2</v>
      </c>
      <c r="E11" s="55">
        <v>2.6856679691753061E-3</v>
      </c>
      <c r="F11" s="55">
        <v>0</v>
      </c>
      <c r="G11" s="55">
        <v>0.99724161399376299</v>
      </c>
      <c r="H11" s="55">
        <v>2.7316934587258681E-6</v>
      </c>
      <c r="I11" s="55">
        <v>8.4727272727272727</v>
      </c>
      <c r="J11" s="56">
        <v>2.7411764705882354E-2</v>
      </c>
    </row>
    <row r="12" spans="1:235" ht="12.5" x14ac:dyDescent="0.25">
      <c r="A12" s="24" t="s">
        <v>30</v>
      </c>
      <c r="B12" s="53" t="s">
        <v>26</v>
      </c>
      <c r="C12" s="55">
        <v>282.18998640081207</v>
      </c>
      <c r="D12" s="55">
        <v>0</v>
      </c>
      <c r="E12" s="55">
        <v>6.1087947843381633E-7</v>
      </c>
      <c r="F12" s="55">
        <v>1</v>
      </c>
      <c r="G12" s="55">
        <v>0.99968623745068164</v>
      </c>
      <c r="H12" s="55">
        <v>0</v>
      </c>
      <c r="I12" s="55">
        <v>8.8682028002834756E-2</v>
      </c>
      <c r="J12" s="56">
        <v>0.11871794871794872</v>
      </c>
    </row>
    <row r="13" spans="1:235" ht="12.5" x14ac:dyDescent="0.25">
      <c r="A13" s="24" t="s">
        <v>33</v>
      </c>
      <c r="B13" s="53" t="s">
        <v>27</v>
      </c>
      <c r="C13" s="55">
        <v>257.79508706467664</v>
      </c>
      <c r="D13" s="55">
        <v>0</v>
      </c>
      <c r="E13" s="55">
        <v>0.10109790965184183</v>
      </c>
      <c r="F13" s="55">
        <v>0</v>
      </c>
      <c r="G13" s="55">
        <v>0.6625403900964556</v>
      </c>
      <c r="H13" s="55">
        <v>1.3099736611514427E-2</v>
      </c>
      <c r="I13" s="55">
        <v>0.21512970859985786</v>
      </c>
      <c r="J13" s="56">
        <v>0.20179166666666667</v>
      </c>
    </row>
    <row r="14" spans="1:235" ht="25" x14ac:dyDescent="0.25">
      <c r="A14" s="24" t="s">
        <v>0</v>
      </c>
      <c r="B14" s="53" t="s">
        <v>2</v>
      </c>
      <c r="C14" s="55">
        <v>0.29877595432557208</v>
      </c>
      <c r="D14" s="55">
        <v>9.9003732445244658E-2</v>
      </c>
      <c r="E14" s="55">
        <v>9.9936400890262636E-2</v>
      </c>
      <c r="F14" s="55">
        <v>0.85062648897213078</v>
      </c>
      <c r="G14" s="55">
        <v>9.3003271160042117E-2</v>
      </c>
      <c r="H14" s="55">
        <v>1.44466976441041E-2</v>
      </c>
      <c r="I14" s="55">
        <v>1.0167538667915688</v>
      </c>
      <c r="J14" s="56">
        <v>9162.61204</v>
      </c>
    </row>
    <row r="15" spans="1:235" ht="12.5" x14ac:dyDescent="0.25">
      <c r="A15" s="24" t="s">
        <v>11</v>
      </c>
      <c r="B15" s="53" t="s">
        <v>20</v>
      </c>
      <c r="C15" s="55">
        <v>90.699177958026993</v>
      </c>
      <c r="D15" s="55">
        <v>5.598772628636091E-4</v>
      </c>
      <c r="E15" s="55">
        <v>1.9359409355554681E-3</v>
      </c>
      <c r="F15" s="55">
        <v>6.2314493947258015E-3</v>
      </c>
      <c r="G15" s="55">
        <v>0.99714548844046302</v>
      </c>
      <c r="H15" s="55">
        <v>1.1902477054255954E-7</v>
      </c>
      <c r="I15" s="55">
        <v>8.4573949650952954E-2</v>
      </c>
      <c r="J15" s="56">
        <v>0.33309677419354838</v>
      </c>
    </row>
    <row r="16" spans="1:235" ht="37.5" x14ac:dyDescent="0.25">
      <c r="A16" s="24" t="s">
        <v>24</v>
      </c>
      <c r="B16" s="53" t="s">
        <v>39</v>
      </c>
      <c r="C16" s="55">
        <v>95.129627560224137</v>
      </c>
      <c r="D16" s="55">
        <v>4.9227934482460607E-2</v>
      </c>
      <c r="E16" s="55">
        <v>4.6774300604651195E-2</v>
      </c>
      <c r="F16" s="55">
        <v>0</v>
      </c>
      <c r="G16" s="55">
        <v>0.76360117472572464</v>
      </c>
      <c r="H16" s="55">
        <v>0</v>
      </c>
      <c r="I16" s="55">
        <v>1.2886927092479366</v>
      </c>
      <c r="J16" s="56">
        <v>1.5828431372549019</v>
      </c>
    </row>
    <row r="17" spans="1:10" ht="25" x14ac:dyDescent="0.25">
      <c r="A17" s="24" t="s">
        <v>34</v>
      </c>
      <c r="B17" s="53" t="s">
        <v>5</v>
      </c>
      <c r="C17" s="55">
        <v>3.0191199306537523E-2</v>
      </c>
      <c r="D17" s="55">
        <v>2.4428740658809543E-4</v>
      </c>
      <c r="E17" s="55">
        <v>0.10890054592021763</v>
      </c>
      <c r="F17" s="55">
        <v>0.91691880218146415</v>
      </c>
      <c r="G17" s="55">
        <v>8.7805415939629485E-4</v>
      </c>
      <c r="H17" s="55">
        <v>2.453380241167296E-2</v>
      </c>
      <c r="I17" s="55">
        <v>1.0251319865568411</v>
      </c>
      <c r="J17" s="56">
        <v>1209416.3292999999</v>
      </c>
    </row>
    <row r="18" spans="1:10" ht="25" x14ac:dyDescent="0.25">
      <c r="A18" s="24" t="s">
        <v>1</v>
      </c>
      <c r="B18" s="53" t="s">
        <v>21</v>
      </c>
      <c r="C18" s="55">
        <v>9.0783311019007884E-2</v>
      </c>
      <c r="D18" s="55">
        <v>1.2957148436611909E-3</v>
      </c>
      <c r="E18" s="55">
        <v>8.0708475728293331E-4</v>
      </c>
      <c r="F18" s="55">
        <v>2.0585073534457126E-3</v>
      </c>
      <c r="G18" s="55">
        <v>1.2927321472753406E-2</v>
      </c>
      <c r="H18" s="55">
        <v>7.8460227325602807E-4</v>
      </c>
      <c r="I18" s="55">
        <v>0.99987703293103103</v>
      </c>
      <c r="J18" s="56">
        <v>18056.568454545453</v>
      </c>
    </row>
    <row r="19" spans="1:10" ht="25" x14ac:dyDescent="0.25">
      <c r="A19" s="24" t="s">
        <v>12</v>
      </c>
      <c r="B19" s="53" t="s">
        <v>22</v>
      </c>
      <c r="C19" s="55">
        <v>1.3684469050483026</v>
      </c>
      <c r="D19" s="55">
        <v>1.7719152403921183E-2</v>
      </c>
      <c r="E19" s="55">
        <v>0.28238983025028047</v>
      </c>
      <c r="F19" s="55">
        <v>0.98105017329167077</v>
      </c>
      <c r="G19" s="55">
        <v>0.28848181039668958</v>
      </c>
      <c r="H19" s="55">
        <v>3.7869873788272314E-2</v>
      </c>
      <c r="I19" s="55">
        <v>0.96786152589644914</v>
      </c>
      <c r="J19" s="56">
        <v>970.41895061728394</v>
      </c>
    </row>
    <row r="20" spans="1:10" ht="12.5" x14ac:dyDescent="0.25">
      <c r="A20" s="24" t="s">
        <v>25</v>
      </c>
      <c r="B20" s="53" t="s">
        <v>40</v>
      </c>
      <c r="C20" s="55">
        <v>108.6805196149467</v>
      </c>
      <c r="D20" s="55">
        <v>68.324344917080367</v>
      </c>
      <c r="E20" s="55">
        <v>0.98557505301786674</v>
      </c>
      <c r="F20" s="55">
        <v>1</v>
      </c>
      <c r="G20" s="55">
        <v>1.4492815139768951E-2</v>
      </c>
      <c r="H20" s="55">
        <v>0</v>
      </c>
      <c r="I20" s="55">
        <v>0.47417451609564232</v>
      </c>
      <c r="J20" s="56">
        <v>0.61080000000000001</v>
      </c>
    </row>
    <row r="21" spans="1:10" ht="25" x14ac:dyDescent="0.25">
      <c r="A21" s="24" t="s">
        <v>37</v>
      </c>
      <c r="B21" s="53" t="s">
        <v>6</v>
      </c>
      <c r="C21" s="55">
        <v>1.237729816625698</v>
      </c>
      <c r="D21" s="55">
        <v>0.40834759229522538</v>
      </c>
      <c r="E21" s="55">
        <v>0.28539127872462472</v>
      </c>
      <c r="F21" s="55">
        <v>0.42813317164652565</v>
      </c>
      <c r="G21" s="55">
        <v>0.40938267638581327</v>
      </c>
      <c r="H21" s="55">
        <v>3.0799991482824668E-2</v>
      </c>
      <c r="I21" s="55">
        <v>0.98583387066744321</v>
      </c>
      <c r="J21" s="56">
        <v>99.851735483870968</v>
      </c>
    </row>
    <row r="22" spans="1:10" ht="12.5" x14ac:dyDescent="0.25">
      <c r="A22" s="24" t="s">
        <v>81</v>
      </c>
      <c r="B22" s="53" t="s">
        <v>16</v>
      </c>
      <c r="C22" s="55">
        <v>6.6265304530641975</v>
      </c>
      <c r="D22" s="55">
        <v>0</v>
      </c>
      <c r="E22" s="55">
        <v>7.5150918187466206E-2</v>
      </c>
      <c r="F22" s="55">
        <v>1</v>
      </c>
      <c r="G22" s="55">
        <v>0.54190377877974738</v>
      </c>
      <c r="H22" s="55">
        <v>0.24773568653824654</v>
      </c>
      <c r="I22" s="55">
        <v>2.0657815143929974</v>
      </c>
      <c r="J22" s="56">
        <v>4723.9382727272732</v>
      </c>
    </row>
    <row r="23" spans="1:10" ht="25" x14ac:dyDescent="0.25">
      <c r="A23" s="24" t="s">
        <v>82</v>
      </c>
      <c r="B23" s="53" t="s">
        <v>28</v>
      </c>
      <c r="C23" s="55">
        <v>1.0722156038861339</v>
      </c>
      <c r="D23" s="55">
        <v>13.838145605580189</v>
      </c>
      <c r="E23" s="55">
        <v>0.67965662743993438</v>
      </c>
      <c r="F23" s="55">
        <v>0.44704649384559852</v>
      </c>
      <c r="G23" s="55">
        <v>0.2476374517733434</v>
      </c>
      <c r="H23" s="55">
        <v>0</v>
      </c>
      <c r="I23" s="55">
        <v>1.6465966222115183</v>
      </c>
      <c r="J23" s="56">
        <v>17.016222222222222</v>
      </c>
    </row>
    <row r="24" spans="1:10" ht="50" x14ac:dyDescent="0.25">
      <c r="A24" s="24" t="s">
        <v>83</v>
      </c>
      <c r="B24" s="53" t="s">
        <v>44</v>
      </c>
      <c r="C24" s="55">
        <v>9.4102732240437153E-4</v>
      </c>
      <c r="D24" s="55">
        <v>0</v>
      </c>
      <c r="E24" s="55">
        <v>6.3876242683266748E-2</v>
      </c>
      <c r="F24" s="55">
        <v>1</v>
      </c>
      <c r="G24" s="55">
        <v>8.8008984419732492E-4</v>
      </c>
      <c r="H24" s="55">
        <v>0</v>
      </c>
      <c r="I24" s="55">
        <v>1</v>
      </c>
      <c r="J24" s="56">
        <v>45750</v>
      </c>
    </row>
    <row r="25" spans="1:10" ht="12.5" x14ac:dyDescent="0.25">
      <c r="A25" s="24" t="s">
        <v>84</v>
      </c>
      <c r="B25" s="53" t="s">
        <v>29</v>
      </c>
      <c r="C25" s="55">
        <v>5.4894126173411426E-2</v>
      </c>
      <c r="D25" s="55">
        <v>4.3698868632353989E-3</v>
      </c>
      <c r="E25" s="55">
        <v>0.43484594471783528</v>
      </c>
      <c r="F25" s="55">
        <v>8.8659471053431239E-3</v>
      </c>
      <c r="G25" s="55">
        <v>1.7312441830115155E-3</v>
      </c>
      <c r="H25" s="55">
        <v>3.0523262602587253E-2</v>
      </c>
      <c r="I25" s="55">
        <v>1.0286798204102856</v>
      </c>
      <c r="J25" s="56">
        <v>19475564.663824998</v>
      </c>
    </row>
    <row r="26" spans="1:10" ht="25" x14ac:dyDescent="0.25">
      <c r="A26" s="24" t="s">
        <v>85</v>
      </c>
      <c r="B26" s="53" t="s">
        <v>23</v>
      </c>
      <c r="C26" s="55">
        <v>25.947044249472839</v>
      </c>
      <c r="D26" s="55">
        <v>5.1756834921995497E-4</v>
      </c>
      <c r="E26" s="55">
        <v>0</v>
      </c>
      <c r="F26" s="55">
        <v>0</v>
      </c>
      <c r="G26" s="55">
        <v>0.25300753342932131</v>
      </c>
      <c r="H26" s="55">
        <v>0.69463760128087948</v>
      </c>
      <c r="I26" s="55">
        <v>1.4115119644369682</v>
      </c>
      <c r="J26" s="56">
        <v>355.78500000000003</v>
      </c>
    </row>
    <row r="27" spans="1:10" ht="37.5" x14ac:dyDescent="0.25">
      <c r="A27" s="24" t="s">
        <v>86</v>
      </c>
      <c r="B27" s="53" t="s">
        <v>3</v>
      </c>
      <c r="C27" s="55">
        <v>12.099508951181381</v>
      </c>
      <c r="D27" s="55">
        <v>3.8056326493471043E-2</v>
      </c>
      <c r="E27" s="55">
        <v>0</v>
      </c>
      <c r="F27" s="55">
        <v>0</v>
      </c>
      <c r="G27" s="55">
        <v>0.96853356371153576</v>
      </c>
      <c r="H27" s="55">
        <v>0</v>
      </c>
      <c r="I27" s="55">
        <v>0.42668398916609784</v>
      </c>
      <c r="J27" s="56">
        <v>4.8442499999999997</v>
      </c>
    </row>
    <row r="28" spans="1:10" ht="37.5" x14ac:dyDescent="0.25">
      <c r="A28" s="24" t="s">
        <v>87</v>
      </c>
      <c r="B28" s="53" t="s">
        <v>9</v>
      </c>
      <c r="C28" s="55">
        <v>5.0510560452353239</v>
      </c>
      <c r="D28" s="55">
        <v>38.035591992624788</v>
      </c>
      <c r="E28" s="55">
        <v>0.96039605630619029</v>
      </c>
      <c r="F28" s="55">
        <v>0</v>
      </c>
      <c r="G28" s="55">
        <v>4.4160718092114644E-2</v>
      </c>
      <c r="H28" s="55">
        <v>0</v>
      </c>
      <c r="I28" s="55">
        <v>5.7375686013637114E-2</v>
      </c>
      <c r="J28" s="56">
        <v>0.22999999999999998</v>
      </c>
    </row>
    <row r="29" spans="1:10" ht="12.5" x14ac:dyDescent="0.25">
      <c r="A29" s="24" t="s">
        <v>88</v>
      </c>
      <c r="B29" s="53" t="s">
        <v>35</v>
      </c>
      <c r="C29" s="55">
        <v>2885.2295345104335</v>
      </c>
      <c r="D29" s="55">
        <v>0.67240241713759907</v>
      </c>
      <c r="E29" s="55">
        <v>0.42003499504347763</v>
      </c>
      <c r="F29" s="55">
        <v>2.3758913552401077E-6</v>
      </c>
      <c r="G29" s="55">
        <v>0.50346136359932592</v>
      </c>
      <c r="H29" s="55">
        <v>7.4829309792624157E-2</v>
      </c>
      <c r="I29" s="55">
        <v>8.5008025682182993</v>
      </c>
      <c r="J29" s="56">
        <v>0.33100000000000002</v>
      </c>
    </row>
    <row r="30" spans="1:10" ht="12.5" x14ac:dyDescent="0.25">
      <c r="A30" s="24" t="s">
        <v>89</v>
      </c>
      <c r="B30" s="53" t="s">
        <v>10</v>
      </c>
      <c r="C30" s="55">
        <v>65.950338101738254</v>
      </c>
      <c r="D30" s="55">
        <v>0</v>
      </c>
      <c r="E30" s="55">
        <v>5.2061603560895051E-2</v>
      </c>
      <c r="F30" s="55">
        <v>1</v>
      </c>
      <c r="G30" s="55">
        <v>0.90215419173761957</v>
      </c>
      <c r="H30" s="55">
        <v>1.2974531192085877E-3</v>
      </c>
      <c r="I30" s="55">
        <v>2.1241547456543866</v>
      </c>
      <c r="J30" s="56">
        <v>14.956055555555556</v>
      </c>
    </row>
  </sheetData>
  <conditionalFormatting sqref="A31:B63177">
    <cfRule type="expression" dxfId="92" priority="7" stopIfTrue="1">
      <formula>$J31=1</formula>
    </cfRule>
    <cfRule type="expression" dxfId="91" priority="8" stopIfTrue="1">
      <formula>$J31=2</formula>
    </cfRule>
    <cfRule type="expression" dxfId="90" priority="9" stopIfTrue="1">
      <formula>$J31=10</formula>
    </cfRule>
  </conditionalFormatting>
  <conditionalFormatting sqref="B4:B30">
    <cfRule type="expression" dxfId="89" priority="1" stopIfTrue="1">
      <formula>#REF!=1</formula>
    </cfRule>
    <cfRule type="expression" dxfId="88" priority="2" stopIfTrue="1">
      <formula>#REF!=2</formula>
    </cfRule>
    <cfRule type="expression" dxfId="87" priority="3" stopIfTrue="1">
      <formula>#REF!=10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33"/>
  <sheetViews>
    <sheetView workbookViewId="0">
      <selection activeCell="A34" sqref="A34"/>
    </sheetView>
  </sheetViews>
  <sheetFormatPr defaultColWidth="9.1796875" defaultRowHeight="12.5" x14ac:dyDescent="0.25"/>
  <cols>
    <col min="1" max="1" width="9.1796875" style="46"/>
    <col min="2" max="2" width="17.7265625" style="46" customWidth="1"/>
    <col min="3" max="3" width="7.81640625" style="46" customWidth="1"/>
    <col min="4" max="4" width="65.26953125" style="46" customWidth="1"/>
    <col min="5" max="16384" width="9.1796875" style="46"/>
  </cols>
  <sheetData>
    <row r="1" spans="1:4" ht="21" customHeight="1" thickBot="1" x14ac:dyDescent="0.3">
      <c r="B1" s="60" t="s">
        <v>149</v>
      </c>
      <c r="C1" s="59"/>
    </row>
    <row r="2" spans="1:4" x14ac:dyDescent="0.25">
      <c r="A2" s="68" t="s">
        <v>59</v>
      </c>
      <c r="B2" s="48" t="s">
        <v>100</v>
      </c>
      <c r="C2" s="48" t="s">
        <v>172</v>
      </c>
      <c r="D2" s="49" t="s">
        <v>101</v>
      </c>
    </row>
    <row r="3" spans="1:4" x14ac:dyDescent="0.25">
      <c r="A3" s="69"/>
      <c r="B3" s="47" t="s">
        <v>102</v>
      </c>
      <c r="C3" s="47" t="s">
        <v>164</v>
      </c>
      <c r="D3" s="50" t="s">
        <v>103</v>
      </c>
    </row>
    <row r="4" spans="1:4" x14ac:dyDescent="0.25">
      <c r="A4" s="69"/>
      <c r="B4" s="47" t="s">
        <v>104</v>
      </c>
      <c r="C4" s="47" t="s">
        <v>156</v>
      </c>
      <c r="D4" s="50" t="s">
        <v>105</v>
      </c>
    </row>
    <row r="5" spans="1:4" ht="13" thickBot="1" x14ac:dyDescent="0.3">
      <c r="A5" s="70"/>
      <c r="B5" s="51" t="s">
        <v>106</v>
      </c>
      <c r="C5" s="51" t="s">
        <v>176</v>
      </c>
      <c r="D5" s="52" t="s">
        <v>107</v>
      </c>
    </row>
    <row r="6" spans="1:4" x14ac:dyDescent="0.25">
      <c r="A6" s="68" t="s">
        <v>60</v>
      </c>
      <c r="B6" s="48">
        <v>0</v>
      </c>
      <c r="C6" s="48" t="s">
        <v>165</v>
      </c>
      <c r="D6" s="49" t="s">
        <v>108</v>
      </c>
    </row>
    <row r="7" spans="1:4" x14ac:dyDescent="0.25">
      <c r="A7" s="69"/>
      <c r="B7" s="47" t="s">
        <v>109</v>
      </c>
      <c r="C7" s="47" t="s">
        <v>157</v>
      </c>
      <c r="D7" s="50" t="s">
        <v>110</v>
      </c>
    </row>
    <row r="8" spans="1:4" x14ac:dyDescent="0.25">
      <c r="A8" s="69"/>
      <c r="B8" s="47" t="s">
        <v>111</v>
      </c>
      <c r="C8" s="47" t="s">
        <v>185</v>
      </c>
      <c r="D8" s="50" t="s">
        <v>112</v>
      </c>
    </row>
    <row r="9" spans="1:4" ht="13" thickBot="1" x14ac:dyDescent="0.3">
      <c r="A9" s="70"/>
      <c r="B9" s="51" t="s">
        <v>113</v>
      </c>
      <c r="C9" s="51" t="s">
        <v>181</v>
      </c>
      <c r="D9" s="52" t="s">
        <v>114</v>
      </c>
    </row>
    <row r="10" spans="1:4" x14ac:dyDescent="0.25">
      <c r="A10" s="68" t="s">
        <v>61</v>
      </c>
      <c r="B10" s="48">
        <v>0</v>
      </c>
      <c r="C10" s="48" t="s">
        <v>166</v>
      </c>
      <c r="D10" s="49" t="s">
        <v>115</v>
      </c>
    </row>
    <row r="11" spans="1:4" x14ac:dyDescent="0.25">
      <c r="A11" s="69"/>
      <c r="B11" s="47" t="s">
        <v>116</v>
      </c>
      <c r="C11" s="47" t="s">
        <v>173</v>
      </c>
      <c r="D11" s="50" t="s">
        <v>117</v>
      </c>
    </row>
    <row r="12" spans="1:4" x14ac:dyDescent="0.25">
      <c r="A12" s="69"/>
      <c r="B12" s="47" t="s">
        <v>118</v>
      </c>
      <c r="C12" s="47" t="s">
        <v>158</v>
      </c>
      <c r="D12" s="50" t="s">
        <v>119</v>
      </c>
    </row>
    <row r="13" spans="1:4" ht="13" thickBot="1" x14ac:dyDescent="0.3">
      <c r="A13" s="70"/>
      <c r="B13" s="51" t="s">
        <v>120</v>
      </c>
      <c r="C13" s="51" t="s">
        <v>182</v>
      </c>
      <c r="D13" s="52" t="s">
        <v>121</v>
      </c>
    </row>
    <row r="14" spans="1:4" x14ac:dyDescent="0.25">
      <c r="A14" s="68" t="s">
        <v>62</v>
      </c>
      <c r="B14" s="48">
        <v>0</v>
      </c>
      <c r="C14" s="48" t="s">
        <v>167</v>
      </c>
      <c r="D14" s="49" t="s">
        <v>122</v>
      </c>
    </row>
    <row r="15" spans="1:4" x14ac:dyDescent="0.25">
      <c r="A15" s="69"/>
      <c r="B15" s="47" t="s">
        <v>116</v>
      </c>
      <c r="C15" s="47" t="s">
        <v>179</v>
      </c>
      <c r="D15" s="50" t="s">
        <v>123</v>
      </c>
    </row>
    <row r="16" spans="1:4" x14ac:dyDescent="0.25">
      <c r="A16" s="69"/>
      <c r="B16" s="47" t="s">
        <v>118</v>
      </c>
      <c r="C16" s="47" t="s">
        <v>183</v>
      </c>
      <c r="D16" s="50" t="s">
        <v>124</v>
      </c>
    </row>
    <row r="17" spans="1:4" ht="13" thickBot="1" x14ac:dyDescent="0.3">
      <c r="A17" s="70"/>
      <c r="B17" s="51" t="s">
        <v>120</v>
      </c>
      <c r="C17" s="51" t="s">
        <v>159</v>
      </c>
      <c r="D17" s="52" t="s">
        <v>125</v>
      </c>
    </row>
    <row r="18" spans="1:4" x14ac:dyDescent="0.25">
      <c r="A18" s="68" t="s">
        <v>63</v>
      </c>
      <c r="B18" s="48">
        <v>0</v>
      </c>
      <c r="C18" s="48" t="s">
        <v>187</v>
      </c>
      <c r="D18" s="49" t="s">
        <v>126</v>
      </c>
    </row>
    <row r="19" spans="1:4" x14ac:dyDescent="0.25">
      <c r="A19" s="69"/>
      <c r="B19" s="47" t="s">
        <v>116</v>
      </c>
      <c r="C19" s="47" t="s">
        <v>174</v>
      </c>
      <c r="D19" s="50" t="s">
        <v>127</v>
      </c>
    </row>
    <row r="20" spans="1:4" x14ac:dyDescent="0.25">
      <c r="A20" s="69"/>
      <c r="B20" s="47" t="s">
        <v>118</v>
      </c>
      <c r="C20" s="47" t="s">
        <v>160</v>
      </c>
      <c r="D20" s="50" t="s">
        <v>128</v>
      </c>
    </row>
    <row r="21" spans="1:4" ht="13" thickBot="1" x14ac:dyDescent="0.3">
      <c r="A21" s="70"/>
      <c r="B21" s="51" t="s">
        <v>120</v>
      </c>
      <c r="C21" s="51" t="s">
        <v>168</v>
      </c>
      <c r="D21" s="52" t="s">
        <v>129</v>
      </c>
    </row>
    <row r="22" spans="1:4" x14ac:dyDescent="0.25">
      <c r="A22" s="68" t="s">
        <v>64</v>
      </c>
      <c r="B22" s="48">
        <v>0</v>
      </c>
      <c r="C22" s="48" t="s">
        <v>169</v>
      </c>
      <c r="D22" s="49" t="s">
        <v>130</v>
      </c>
    </row>
    <row r="23" spans="1:4" x14ac:dyDescent="0.25">
      <c r="A23" s="69"/>
      <c r="B23" s="47" t="s">
        <v>131</v>
      </c>
      <c r="C23" s="47" t="s">
        <v>161</v>
      </c>
      <c r="D23" s="50" t="s">
        <v>132</v>
      </c>
    </row>
    <row r="24" spans="1:4" x14ac:dyDescent="0.25">
      <c r="A24" s="69"/>
      <c r="B24" s="47" t="s">
        <v>133</v>
      </c>
      <c r="C24" s="47" t="s">
        <v>184</v>
      </c>
      <c r="D24" s="50" t="s">
        <v>134</v>
      </c>
    </row>
    <row r="25" spans="1:4" ht="13" thickBot="1" x14ac:dyDescent="0.3">
      <c r="A25" s="70"/>
      <c r="B25" s="51" t="s">
        <v>135</v>
      </c>
      <c r="C25" s="51" t="s">
        <v>186</v>
      </c>
      <c r="D25" s="52" t="s">
        <v>136</v>
      </c>
    </row>
    <row r="26" spans="1:4" x14ac:dyDescent="0.25">
      <c r="A26" s="68" t="s">
        <v>65</v>
      </c>
      <c r="B26" s="48" t="s">
        <v>153</v>
      </c>
      <c r="C26" s="48" t="s">
        <v>170</v>
      </c>
      <c r="D26" s="49" t="s">
        <v>137</v>
      </c>
    </row>
    <row r="27" spans="1:4" x14ac:dyDescent="0.25">
      <c r="A27" s="69"/>
      <c r="B27" s="47" t="s">
        <v>135</v>
      </c>
      <c r="C27" s="47" t="s">
        <v>180</v>
      </c>
      <c r="D27" s="50" t="s">
        <v>138</v>
      </c>
    </row>
    <row r="28" spans="1:4" x14ac:dyDescent="0.25">
      <c r="A28" s="69"/>
      <c r="B28" s="47" t="s">
        <v>154</v>
      </c>
      <c r="C28" s="47" t="s">
        <v>162</v>
      </c>
      <c r="D28" s="50" t="s">
        <v>139</v>
      </c>
    </row>
    <row r="29" spans="1:4" ht="13" thickBot="1" x14ac:dyDescent="0.3">
      <c r="A29" s="70"/>
      <c r="B29" s="51" t="s">
        <v>155</v>
      </c>
      <c r="C29" s="51" t="s">
        <v>178</v>
      </c>
      <c r="D29" s="52" t="s">
        <v>140</v>
      </c>
    </row>
    <row r="30" spans="1:4" x14ac:dyDescent="0.25">
      <c r="A30" s="68" t="s">
        <v>66</v>
      </c>
      <c r="B30" s="48" t="s">
        <v>141</v>
      </c>
      <c r="C30" s="48" t="s">
        <v>171</v>
      </c>
      <c r="D30" s="49" t="s">
        <v>142</v>
      </c>
    </row>
    <row r="31" spans="1:4" x14ac:dyDescent="0.25">
      <c r="A31" s="69"/>
      <c r="B31" s="47" t="s">
        <v>143</v>
      </c>
      <c r="C31" s="47" t="s">
        <v>163</v>
      </c>
      <c r="D31" s="50" t="s">
        <v>144</v>
      </c>
    </row>
    <row r="32" spans="1:4" x14ac:dyDescent="0.25">
      <c r="A32" s="69"/>
      <c r="B32" s="47" t="s">
        <v>145</v>
      </c>
      <c r="C32" s="47" t="s">
        <v>177</v>
      </c>
      <c r="D32" s="50" t="s">
        <v>146</v>
      </c>
    </row>
    <row r="33" spans="1:4" ht="13" thickBot="1" x14ac:dyDescent="0.3">
      <c r="A33" s="70"/>
      <c r="B33" s="51" t="s">
        <v>147</v>
      </c>
      <c r="C33" s="51" t="s">
        <v>175</v>
      </c>
      <c r="D33" s="52" t="s">
        <v>148</v>
      </c>
    </row>
  </sheetData>
  <mergeCells count="8">
    <mergeCell ref="A26:A29"/>
    <mergeCell ref="A30:A33"/>
    <mergeCell ref="A2:A5"/>
    <mergeCell ref="A6:A9"/>
    <mergeCell ref="A10:A13"/>
    <mergeCell ref="A14:A17"/>
    <mergeCell ref="A18:A21"/>
    <mergeCell ref="A22:A2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A30"/>
  <sheetViews>
    <sheetView workbookViewId="0">
      <selection activeCell="B30" sqref="B30"/>
    </sheetView>
  </sheetViews>
  <sheetFormatPr defaultColWidth="9.1796875" defaultRowHeight="10" x14ac:dyDescent="0.2"/>
  <cols>
    <col min="1" max="1" width="6" style="8" customWidth="1"/>
    <col min="2" max="2" width="56.453125" style="10" customWidth="1"/>
    <col min="3" max="6" width="21.1796875" style="4" customWidth="1"/>
    <col min="7" max="7" width="24.54296875" style="4" customWidth="1"/>
    <col min="8" max="8" width="25.81640625" style="4" customWidth="1"/>
    <col min="9" max="9" width="21.1796875" style="4" customWidth="1"/>
    <col min="10" max="10" width="21.1796875" style="6" customWidth="1"/>
    <col min="11" max="11" width="11.81640625" style="4" customWidth="1"/>
    <col min="12" max="16384" width="9.1796875" style="4"/>
  </cols>
  <sheetData>
    <row r="1" spans="1:235" ht="22.5" customHeight="1" x14ac:dyDescent="0.2">
      <c r="B1" s="44" t="s">
        <v>98</v>
      </c>
    </row>
    <row r="2" spans="1:235" ht="149.25" customHeight="1" x14ac:dyDescent="0.3">
      <c r="A2" s="42" t="s">
        <v>74</v>
      </c>
      <c r="B2" s="43" t="s">
        <v>75</v>
      </c>
      <c r="C2" s="23" t="s">
        <v>68</v>
      </c>
      <c r="D2" s="23" t="s">
        <v>72</v>
      </c>
      <c r="E2" s="23" t="s">
        <v>73</v>
      </c>
      <c r="F2" s="23" t="s">
        <v>67</v>
      </c>
      <c r="G2" s="23" t="s">
        <v>70</v>
      </c>
      <c r="H2" s="23" t="s">
        <v>71</v>
      </c>
      <c r="I2" s="23" t="s">
        <v>96</v>
      </c>
      <c r="J2" s="23" t="s">
        <v>69</v>
      </c>
    </row>
    <row r="3" spans="1:235" ht="13" x14ac:dyDescent="0.2">
      <c r="A3" s="3"/>
      <c r="B3" s="3"/>
      <c r="C3" s="7" t="s">
        <v>59</v>
      </c>
      <c r="D3" s="7" t="s">
        <v>60</v>
      </c>
      <c r="E3" s="7" t="s">
        <v>61</v>
      </c>
      <c r="F3" s="7" t="s">
        <v>62</v>
      </c>
      <c r="G3" s="7" t="s">
        <v>63</v>
      </c>
      <c r="H3" s="7" t="s">
        <v>64</v>
      </c>
      <c r="I3" s="7" t="s">
        <v>65</v>
      </c>
      <c r="J3" s="7" t="s">
        <v>66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</row>
    <row r="4" spans="1:235" ht="12.5" x14ac:dyDescent="0.25">
      <c r="A4" s="24" t="s">
        <v>76</v>
      </c>
      <c r="B4" s="11" t="s">
        <v>36</v>
      </c>
      <c r="C4" s="55" t="s">
        <v>156</v>
      </c>
      <c r="D4" s="55" t="s">
        <v>157</v>
      </c>
      <c r="E4" s="55" t="s">
        <v>158</v>
      </c>
      <c r="F4" s="55" t="s">
        <v>159</v>
      </c>
      <c r="G4" s="55" t="s">
        <v>160</v>
      </c>
      <c r="H4" s="55" t="s">
        <v>161</v>
      </c>
      <c r="I4" s="55" t="s">
        <v>162</v>
      </c>
      <c r="J4" s="56" t="s">
        <v>163</v>
      </c>
    </row>
    <row r="5" spans="1:235" ht="12.5" x14ac:dyDescent="0.25">
      <c r="A5" s="24" t="s">
        <v>77</v>
      </c>
      <c r="B5" s="53" t="s">
        <v>31</v>
      </c>
      <c r="C5" s="55" t="s">
        <v>164</v>
      </c>
      <c r="D5" s="55" t="s">
        <v>165</v>
      </c>
      <c r="E5" s="55" t="s">
        <v>166</v>
      </c>
      <c r="F5" s="55" t="s">
        <v>167</v>
      </c>
      <c r="G5" s="55" t="s">
        <v>168</v>
      </c>
      <c r="H5" s="55" t="s">
        <v>169</v>
      </c>
      <c r="I5" s="55" t="s">
        <v>170</v>
      </c>
      <c r="J5" s="56" t="s">
        <v>171</v>
      </c>
    </row>
    <row r="6" spans="1:235" ht="12.5" x14ac:dyDescent="0.25">
      <c r="A6" s="24" t="s">
        <v>78</v>
      </c>
      <c r="B6" s="53" t="s">
        <v>13</v>
      </c>
      <c r="C6" s="55" t="s">
        <v>172</v>
      </c>
      <c r="D6" s="55" t="s">
        <v>157</v>
      </c>
      <c r="E6" s="55" t="s">
        <v>173</v>
      </c>
      <c r="F6" s="55" t="s">
        <v>159</v>
      </c>
      <c r="G6" s="55" t="s">
        <v>174</v>
      </c>
      <c r="H6" s="55" t="s">
        <v>161</v>
      </c>
      <c r="I6" s="55" t="s">
        <v>162</v>
      </c>
      <c r="J6" s="56" t="s">
        <v>175</v>
      </c>
    </row>
    <row r="7" spans="1:235" ht="12.5" x14ac:dyDescent="0.25">
      <c r="A7" s="24" t="s">
        <v>79</v>
      </c>
      <c r="B7" s="53" t="s">
        <v>42</v>
      </c>
      <c r="C7" s="55" t="s">
        <v>176</v>
      </c>
      <c r="D7" s="55" t="s">
        <v>157</v>
      </c>
      <c r="E7" s="55" t="s">
        <v>173</v>
      </c>
      <c r="F7" s="55" t="s">
        <v>159</v>
      </c>
      <c r="G7" s="55" t="s">
        <v>168</v>
      </c>
      <c r="H7" s="55" t="s">
        <v>169</v>
      </c>
      <c r="I7" s="55" t="s">
        <v>162</v>
      </c>
      <c r="J7" s="56" t="s">
        <v>171</v>
      </c>
    </row>
    <row r="8" spans="1:235" ht="25" x14ac:dyDescent="0.25">
      <c r="A8" s="24" t="s">
        <v>80</v>
      </c>
      <c r="B8" s="53" t="s">
        <v>4</v>
      </c>
      <c r="C8" s="55" t="s">
        <v>172</v>
      </c>
      <c r="D8" s="55" t="s">
        <v>157</v>
      </c>
      <c r="E8" s="55" t="s">
        <v>173</v>
      </c>
      <c r="F8" s="55" t="s">
        <v>159</v>
      </c>
      <c r="G8" s="55" t="s">
        <v>174</v>
      </c>
      <c r="H8" s="55" t="s">
        <v>161</v>
      </c>
      <c r="I8" s="55" t="s">
        <v>162</v>
      </c>
      <c r="J8" s="56" t="s">
        <v>177</v>
      </c>
    </row>
    <row r="9" spans="1:235" ht="12.5" x14ac:dyDescent="0.25">
      <c r="A9" s="24" t="s">
        <v>41</v>
      </c>
      <c r="B9" s="53" t="s">
        <v>38</v>
      </c>
      <c r="C9" s="55" t="s">
        <v>176</v>
      </c>
      <c r="D9" s="55" t="s">
        <v>157</v>
      </c>
      <c r="E9" s="55" t="s">
        <v>173</v>
      </c>
      <c r="F9" s="55" t="s">
        <v>167</v>
      </c>
      <c r="G9" s="55" t="s">
        <v>168</v>
      </c>
      <c r="H9" s="55" t="s">
        <v>169</v>
      </c>
      <c r="I9" s="55" t="s">
        <v>162</v>
      </c>
      <c r="J9" s="56" t="s">
        <v>171</v>
      </c>
    </row>
    <row r="10" spans="1:235" ht="25" x14ac:dyDescent="0.25">
      <c r="A10" s="24" t="s">
        <v>8</v>
      </c>
      <c r="B10" s="53" t="s">
        <v>14</v>
      </c>
      <c r="C10" s="55" t="s">
        <v>176</v>
      </c>
      <c r="D10" s="55" t="s">
        <v>165</v>
      </c>
      <c r="E10" s="55" t="s">
        <v>173</v>
      </c>
      <c r="F10" s="55" t="s">
        <v>159</v>
      </c>
      <c r="G10" s="55" t="s">
        <v>168</v>
      </c>
      <c r="H10" s="55" t="s">
        <v>169</v>
      </c>
      <c r="I10" s="55" t="s">
        <v>178</v>
      </c>
      <c r="J10" s="56" t="s">
        <v>171</v>
      </c>
    </row>
    <row r="11" spans="1:235" ht="37.5" x14ac:dyDescent="0.25">
      <c r="A11" s="24" t="s">
        <v>19</v>
      </c>
      <c r="B11" s="53" t="s">
        <v>43</v>
      </c>
      <c r="C11" s="55" t="s">
        <v>176</v>
      </c>
      <c r="D11" s="55" t="s">
        <v>157</v>
      </c>
      <c r="E11" s="55" t="s">
        <v>173</v>
      </c>
      <c r="F11" s="55" t="s">
        <v>167</v>
      </c>
      <c r="G11" s="55" t="s">
        <v>168</v>
      </c>
      <c r="H11" s="55" t="s">
        <v>161</v>
      </c>
      <c r="I11" s="55" t="s">
        <v>162</v>
      </c>
      <c r="J11" s="56" t="s">
        <v>171</v>
      </c>
    </row>
    <row r="12" spans="1:235" ht="12.5" x14ac:dyDescent="0.25">
      <c r="A12" s="24" t="s">
        <v>30</v>
      </c>
      <c r="B12" s="53" t="s">
        <v>26</v>
      </c>
      <c r="C12" s="55" t="s">
        <v>176</v>
      </c>
      <c r="D12" s="55" t="s">
        <v>165</v>
      </c>
      <c r="E12" s="55" t="s">
        <v>173</v>
      </c>
      <c r="F12" s="55" t="s">
        <v>159</v>
      </c>
      <c r="G12" s="55" t="s">
        <v>168</v>
      </c>
      <c r="H12" s="55" t="s">
        <v>169</v>
      </c>
      <c r="I12" s="55" t="s">
        <v>170</v>
      </c>
      <c r="J12" s="56" t="s">
        <v>171</v>
      </c>
    </row>
    <row r="13" spans="1:235" ht="12.5" x14ac:dyDescent="0.25">
      <c r="A13" s="24" t="s">
        <v>33</v>
      </c>
      <c r="B13" s="53" t="s">
        <v>27</v>
      </c>
      <c r="C13" s="55" t="s">
        <v>176</v>
      </c>
      <c r="D13" s="55" t="s">
        <v>165</v>
      </c>
      <c r="E13" s="55" t="s">
        <v>173</v>
      </c>
      <c r="F13" s="55" t="s">
        <v>167</v>
      </c>
      <c r="G13" s="55" t="s">
        <v>168</v>
      </c>
      <c r="H13" s="55" t="s">
        <v>161</v>
      </c>
      <c r="I13" s="55" t="s">
        <v>170</v>
      </c>
      <c r="J13" s="56" t="s">
        <v>171</v>
      </c>
    </row>
    <row r="14" spans="1:235" ht="25" x14ac:dyDescent="0.25">
      <c r="A14" s="24" t="s">
        <v>0</v>
      </c>
      <c r="B14" s="53" t="s">
        <v>2</v>
      </c>
      <c r="C14" s="58" t="s">
        <v>172</v>
      </c>
      <c r="D14" s="58" t="s">
        <v>157</v>
      </c>
      <c r="E14" s="58" t="s">
        <v>173</v>
      </c>
      <c r="F14" s="58" t="s">
        <v>159</v>
      </c>
      <c r="G14" s="58" t="s">
        <v>174</v>
      </c>
      <c r="H14" s="58" t="s">
        <v>161</v>
      </c>
      <c r="I14" s="58" t="s">
        <v>162</v>
      </c>
      <c r="J14" s="57" t="s">
        <v>175</v>
      </c>
    </row>
    <row r="15" spans="1:235" ht="12.5" x14ac:dyDescent="0.25">
      <c r="A15" s="24" t="s">
        <v>11</v>
      </c>
      <c r="B15" s="53" t="s">
        <v>20</v>
      </c>
      <c r="C15" s="58" t="s">
        <v>156</v>
      </c>
      <c r="D15" s="58" t="s">
        <v>157</v>
      </c>
      <c r="E15" s="58" t="s">
        <v>173</v>
      </c>
      <c r="F15" s="58" t="s">
        <v>179</v>
      </c>
      <c r="G15" s="58" t="s">
        <v>168</v>
      </c>
      <c r="H15" s="58" t="s">
        <v>161</v>
      </c>
      <c r="I15" s="58" t="s">
        <v>170</v>
      </c>
      <c r="J15" s="57" t="s">
        <v>171</v>
      </c>
    </row>
    <row r="16" spans="1:235" ht="37.5" x14ac:dyDescent="0.25">
      <c r="A16" s="24" t="s">
        <v>24</v>
      </c>
      <c r="B16" s="53" t="s">
        <v>39</v>
      </c>
      <c r="C16" s="58" t="s">
        <v>156</v>
      </c>
      <c r="D16" s="58" t="s">
        <v>157</v>
      </c>
      <c r="E16" s="58" t="s">
        <v>173</v>
      </c>
      <c r="F16" s="58" t="s">
        <v>167</v>
      </c>
      <c r="G16" s="58" t="s">
        <v>168</v>
      </c>
      <c r="H16" s="58" t="s">
        <v>169</v>
      </c>
      <c r="I16" s="58" t="s">
        <v>162</v>
      </c>
      <c r="J16" s="57" t="s">
        <v>171</v>
      </c>
    </row>
    <row r="17" spans="1:10" ht="25" x14ac:dyDescent="0.25">
      <c r="A17" s="24" t="s">
        <v>34</v>
      </c>
      <c r="B17" s="53" t="s">
        <v>5</v>
      </c>
      <c r="C17" s="58" t="s">
        <v>172</v>
      </c>
      <c r="D17" s="58" t="s">
        <v>157</v>
      </c>
      <c r="E17" s="58" t="s">
        <v>173</v>
      </c>
      <c r="F17" s="58" t="s">
        <v>159</v>
      </c>
      <c r="G17" s="58" t="s">
        <v>174</v>
      </c>
      <c r="H17" s="58" t="s">
        <v>161</v>
      </c>
      <c r="I17" s="58" t="s">
        <v>162</v>
      </c>
      <c r="J17" s="57" t="s">
        <v>175</v>
      </c>
    </row>
    <row r="18" spans="1:10" ht="25" x14ac:dyDescent="0.25">
      <c r="A18" s="24" t="s">
        <v>1</v>
      </c>
      <c r="B18" s="53" t="s">
        <v>21</v>
      </c>
      <c r="C18" s="58" t="s">
        <v>172</v>
      </c>
      <c r="D18" s="58" t="s">
        <v>157</v>
      </c>
      <c r="E18" s="58" t="s">
        <v>173</v>
      </c>
      <c r="F18" s="58" t="s">
        <v>179</v>
      </c>
      <c r="G18" s="58" t="s">
        <v>174</v>
      </c>
      <c r="H18" s="58" t="s">
        <v>161</v>
      </c>
      <c r="I18" s="58" t="s">
        <v>180</v>
      </c>
      <c r="J18" s="57" t="s">
        <v>175</v>
      </c>
    </row>
    <row r="19" spans="1:10" ht="25" x14ac:dyDescent="0.25">
      <c r="A19" s="24" t="s">
        <v>12</v>
      </c>
      <c r="B19" s="53" t="s">
        <v>22</v>
      </c>
      <c r="C19" s="58" t="s">
        <v>164</v>
      </c>
      <c r="D19" s="58" t="s">
        <v>157</v>
      </c>
      <c r="E19" s="58" t="s">
        <v>173</v>
      </c>
      <c r="F19" s="58" t="s">
        <v>159</v>
      </c>
      <c r="G19" s="58" t="s">
        <v>174</v>
      </c>
      <c r="H19" s="58" t="s">
        <v>161</v>
      </c>
      <c r="I19" s="58" t="s">
        <v>180</v>
      </c>
      <c r="J19" s="57" t="s">
        <v>177</v>
      </c>
    </row>
    <row r="20" spans="1:10" ht="12.5" x14ac:dyDescent="0.25">
      <c r="A20" s="24" t="s">
        <v>25</v>
      </c>
      <c r="B20" s="53" t="s">
        <v>40</v>
      </c>
      <c r="C20" s="58" t="s">
        <v>176</v>
      </c>
      <c r="D20" s="58" t="s">
        <v>181</v>
      </c>
      <c r="E20" s="58" t="s">
        <v>182</v>
      </c>
      <c r="F20" s="58" t="s">
        <v>159</v>
      </c>
      <c r="G20" s="58" t="s">
        <v>174</v>
      </c>
      <c r="H20" s="58" t="s">
        <v>169</v>
      </c>
      <c r="I20" s="58" t="s">
        <v>170</v>
      </c>
      <c r="J20" s="57" t="s">
        <v>171</v>
      </c>
    </row>
    <row r="21" spans="1:10" ht="25" x14ac:dyDescent="0.25">
      <c r="A21" s="24" t="s">
        <v>37</v>
      </c>
      <c r="B21" s="53" t="s">
        <v>6</v>
      </c>
      <c r="C21" s="58" t="s">
        <v>164</v>
      </c>
      <c r="D21" s="58" t="s">
        <v>157</v>
      </c>
      <c r="E21" s="58" t="s">
        <v>173</v>
      </c>
      <c r="F21" s="58" t="s">
        <v>183</v>
      </c>
      <c r="G21" s="58" t="s">
        <v>160</v>
      </c>
      <c r="H21" s="58" t="s">
        <v>161</v>
      </c>
      <c r="I21" s="58" t="s">
        <v>180</v>
      </c>
      <c r="J21" s="57" t="s">
        <v>163</v>
      </c>
    </row>
    <row r="22" spans="1:10" ht="12.5" x14ac:dyDescent="0.25">
      <c r="A22" s="24" t="s">
        <v>81</v>
      </c>
      <c r="B22" s="53" t="s">
        <v>16</v>
      </c>
      <c r="C22" s="58" t="s">
        <v>164</v>
      </c>
      <c r="D22" s="58" t="s">
        <v>165</v>
      </c>
      <c r="E22" s="58" t="s">
        <v>173</v>
      </c>
      <c r="F22" s="58" t="s">
        <v>159</v>
      </c>
      <c r="G22" s="58" t="s">
        <v>160</v>
      </c>
      <c r="H22" s="58" t="s">
        <v>184</v>
      </c>
      <c r="I22" s="58" t="s">
        <v>162</v>
      </c>
      <c r="J22" s="57" t="s">
        <v>175</v>
      </c>
    </row>
    <row r="23" spans="1:10" ht="25" x14ac:dyDescent="0.25">
      <c r="A23" s="24" t="s">
        <v>82</v>
      </c>
      <c r="B23" s="53" t="s">
        <v>28</v>
      </c>
      <c r="C23" s="58" t="s">
        <v>164</v>
      </c>
      <c r="D23" s="58" t="s">
        <v>185</v>
      </c>
      <c r="E23" s="58" t="s">
        <v>182</v>
      </c>
      <c r="F23" s="58" t="s">
        <v>183</v>
      </c>
      <c r="G23" s="58" t="s">
        <v>174</v>
      </c>
      <c r="H23" s="58" t="s">
        <v>169</v>
      </c>
      <c r="I23" s="58" t="s">
        <v>162</v>
      </c>
      <c r="J23" s="57" t="s">
        <v>163</v>
      </c>
    </row>
    <row r="24" spans="1:10" ht="50" x14ac:dyDescent="0.25">
      <c r="A24" s="24" t="s">
        <v>83</v>
      </c>
      <c r="B24" s="53" t="s">
        <v>44</v>
      </c>
      <c r="C24" s="58" t="s">
        <v>172</v>
      </c>
      <c r="D24" s="58" t="s">
        <v>165</v>
      </c>
      <c r="E24" s="58" t="s">
        <v>173</v>
      </c>
      <c r="F24" s="58" t="s">
        <v>159</v>
      </c>
      <c r="G24" s="58" t="s">
        <v>174</v>
      </c>
      <c r="H24" s="58" t="s">
        <v>169</v>
      </c>
      <c r="I24" s="58" t="s">
        <v>162</v>
      </c>
      <c r="J24" s="57" t="s">
        <v>175</v>
      </c>
    </row>
    <row r="25" spans="1:10" ht="12.5" x14ac:dyDescent="0.25">
      <c r="A25" s="24" t="s">
        <v>84</v>
      </c>
      <c r="B25" s="53" t="s">
        <v>29</v>
      </c>
      <c r="C25" s="58" t="s">
        <v>172</v>
      </c>
      <c r="D25" s="58" t="s">
        <v>157</v>
      </c>
      <c r="E25" s="58" t="s">
        <v>158</v>
      </c>
      <c r="F25" s="58" t="s">
        <v>179</v>
      </c>
      <c r="G25" s="58" t="s">
        <v>174</v>
      </c>
      <c r="H25" s="58" t="s">
        <v>161</v>
      </c>
      <c r="I25" s="58" t="s">
        <v>162</v>
      </c>
      <c r="J25" s="57" t="s">
        <v>175</v>
      </c>
    </row>
    <row r="26" spans="1:10" ht="25" x14ac:dyDescent="0.25">
      <c r="A26" s="24" t="s">
        <v>85</v>
      </c>
      <c r="B26" s="53" t="s">
        <v>23</v>
      </c>
      <c r="C26" s="58" t="s">
        <v>164</v>
      </c>
      <c r="D26" s="58" t="s">
        <v>157</v>
      </c>
      <c r="E26" s="58" t="s">
        <v>166</v>
      </c>
      <c r="F26" s="58" t="s">
        <v>167</v>
      </c>
      <c r="G26" s="58" t="s">
        <v>174</v>
      </c>
      <c r="H26" s="58" t="s">
        <v>186</v>
      </c>
      <c r="I26" s="58" t="s">
        <v>162</v>
      </c>
      <c r="J26" s="57" t="s">
        <v>177</v>
      </c>
    </row>
    <row r="27" spans="1:10" ht="37.5" x14ac:dyDescent="0.25">
      <c r="A27" s="24" t="s">
        <v>86</v>
      </c>
      <c r="B27" s="53" t="s">
        <v>3</v>
      </c>
      <c r="C27" s="58" t="s">
        <v>164</v>
      </c>
      <c r="D27" s="58" t="s">
        <v>157</v>
      </c>
      <c r="E27" s="58" t="s">
        <v>166</v>
      </c>
      <c r="F27" s="58" t="s">
        <v>167</v>
      </c>
      <c r="G27" s="58" t="s">
        <v>168</v>
      </c>
      <c r="H27" s="58" t="s">
        <v>169</v>
      </c>
      <c r="I27" s="58" t="s">
        <v>170</v>
      </c>
      <c r="J27" s="57" t="s">
        <v>171</v>
      </c>
    </row>
    <row r="28" spans="1:10" ht="37.5" x14ac:dyDescent="0.25">
      <c r="A28" s="24" t="s">
        <v>87</v>
      </c>
      <c r="B28" s="53" t="s">
        <v>9</v>
      </c>
      <c r="C28" s="58" t="s">
        <v>164</v>
      </c>
      <c r="D28" s="58" t="s">
        <v>185</v>
      </c>
      <c r="E28" s="58" t="s">
        <v>182</v>
      </c>
      <c r="F28" s="58" t="s">
        <v>167</v>
      </c>
      <c r="G28" s="58" t="s">
        <v>174</v>
      </c>
      <c r="H28" s="58" t="s">
        <v>169</v>
      </c>
      <c r="I28" s="58" t="s">
        <v>170</v>
      </c>
      <c r="J28" s="57" t="s">
        <v>171</v>
      </c>
    </row>
    <row r="29" spans="1:10" ht="12.5" x14ac:dyDescent="0.25">
      <c r="A29" s="24" t="s">
        <v>88</v>
      </c>
      <c r="B29" s="53" t="s">
        <v>35</v>
      </c>
      <c r="C29" s="58" t="s">
        <v>176</v>
      </c>
      <c r="D29" s="58" t="s">
        <v>157</v>
      </c>
      <c r="E29" s="58" t="s">
        <v>158</v>
      </c>
      <c r="F29" s="58" t="s">
        <v>179</v>
      </c>
      <c r="G29" s="58" t="s">
        <v>160</v>
      </c>
      <c r="H29" s="58" t="s">
        <v>161</v>
      </c>
      <c r="I29" s="58" t="s">
        <v>162</v>
      </c>
      <c r="J29" s="57" t="s">
        <v>171</v>
      </c>
    </row>
    <row r="30" spans="1:10" ht="12.5" x14ac:dyDescent="0.25">
      <c r="A30" s="24" t="s">
        <v>89</v>
      </c>
      <c r="B30" s="53" t="s">
        <v>10</v>
      </c>
      <c r="C30" s="58" t="s">
        <v>156</v>
      </c>
      <c r="D30" s="58" t="s">
        <v>165</v>
      </c>
      <c r="E30" s="58" t="s">
        <v>173</v>
      </c>
      <c r="F30" s="58" t="s">
        <v>159</v>
      </c>
      <c r="G30" s="58" t="s">
        <v>168</v>
      </c>
      <c r="H30" s="58" t="s">
        <v>161</v>
      </c>
      <c r="I30" s="58" t="s">
        <v>162</v>
      </c>
      <c r="J30" s="57" t="s">
        <v>163</v>
      </c>
    </row>
  </sheetData>
  <conditionalFormatting sqref="A31:B63177">
    <cfRule type="expression" dxfId="86" priority="4" stopIfTrue="1">
      <formula>$J31=1</formula>
    </cfRule>
    <cfRule type="expression" dxfId="85" priority="5" stopIfTrue="1">
      <formula>$J31=2</formula>
    </cfRule>
    <cfRule type="expression" dxfId="84" priority="6" stopIfTrue="1">
      <formula>$J31=10</formula>
    </cfRule>
  </conditionalFormatting>
  <conditionalFormatting sqref="B4:B30">
    <cfRule type="expression" dxfId="83" priority="1" stopIfTrue="1">
      <formula>#REF!=1</formula>
    </cfRule>
    <cfRule type="expression" dxfId="82" priority="2" stopIfTrue="1">
      <formula>#REF!=2</formula>
    </cfRule>
    <cfRule type="expression" dxfId="81" priority="3" stopIfTrue="1">
      <formula>#REF!=10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1</v>
      </c>
      <c r="B2" s="28" t="s">
        <v>36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87.5" x14ac:dyDescent="0.25">
      <c r="A5" s="35" t="s">
        <v>68</v>
      </c>
      <c r="B5" s="65" t="s">
        <v>59</v>
      </c>
      <c r="C5" s="66">
        <v>52.496514338220948</v>
      </c>
      <c r="D5" s="63" t="s">
        <v>156</v>
      </c>
      <c r="E5" s="61" t="s">
        <v>105</v>
      </c>
      <c r="G5" s="40" t="s">
        <v>188</v>
      </c>
      <c r="H5" s="34" t="s">
        <v>189</v>
      </c>
    </row>
    <row r="6" spans="1:29" ht="39" x14ac:dyDescent="0.25">
      <c r="A6" s="35" t="s">
        <v>72</v>
      </c>
      <c r="B6" s="65" t="s">
        <v>60</v>
      </c>
      <c r="C6" s="66">
        <v>9.5195918490555156E-2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0.34634978304637309</v>
      </c>
      <c r="D7" s="64" t="s">
        <v>158</v>
      </c>
      <c r="E7" s="62" t="s">
        <v>119</v>
      </c>
    </row>
    <row r="8" spans="1:29" ht="39" x14ac:dyDescent="0.25">
      <c r="A8" s="35" t="s">
        <v>67</v>
      </c>
      <c r="B8" s="65" t="s">
        <v>62</v>
      </c>
      <c r="C8" s="66">
        <v>0.99202617415992977</v>
      </c>
      <c r="D8" s="64" t="s">
        <v>159</v>
      </c>
      <c r="E8" s="62" t="s">
        <v>125</v>
      </c>
    </row>
    <row r="9" spans="1:29" ht="52" x14ac:dyDescent="0.25">
      <c r="A9" s="35" t="s">
        <v>70</v>
      </c>
      <c r="B9" s="65" t="s">
        <v>63</v>
      </c>
      <c r="C9" s="66">
        <v>0.32766511973648782</v>
      </c>
      <c r="D9" s="64" t="s">
        <v>160</v>
      </c>
      <c r="E9" s="62" t="s">
        <v>128</v>
      </c>
    </row>
    <row r="10" spans="1:29" ht="65" x14ac:dyDescent="0.25">
      <c r="A10" s="35" t="s">
        <v>71</v>
      </c>
      <c r="B10" s="65" t="s">
        <v>64</v>
      </c>
      <c r="C10" s="66">
        <v>1.9234736072639803E-2</v>
      </c>
      <c r="D10" s="64" t="s">
        <v>161</v>
      </c>
      <c r="E10" s="62" t="s">
        <v>132</v>
      </c>
    </row>
    <row r="11" spans="1:29" ht="39" x14ac:dyDescent="0.25">
      <c r="A11" s="35" t="s">
        <v>97</v>
      </c>
      <c r="B11" s="65" t="s">
        <v>65</v>
      </c>
      <c r="C11" s="66">
        <v>1.4511623011635431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33.165216216216216</v>
      </c>
      <c r="D12" s="64" t="s">
        <v>163</v>
      </c>
      <c r="E12" s="62" t="s">
        <v>144</v>
      </c>
    </row>
  </sheetData>
  <sortState ref="A4:IT30">
    <sortCondition ref="W4:W30"/>
  </sortState>
  <conditionalFormatting sqref="B2">
    <cfRule type="expression" dxfId="80" priority="1" stopIfTrue="1">
      <formula>$AC2=1</formula>
    </cfRule>
    <cfRule type="expression" dxfId="79" priority="2" stopIfTrue="1">
      <formula>$AC2=2</formula>
    </cfRule>
    <cfRule type="expression" dxfId="78" priority="3" stopIfTrue="1">
      <formula>$AC2=10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2</v>
      </c>
      <c r="B2" s="28" t="s">
        <v>31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50" x14ac:dyDescent="0.25">
      <c r="A5" s="35" t="s">
        <v>68</v>
      </c>
      <c r="B5" s="65" t="s">
        <v>59</v>
      </c>
      <c r="C5" s="66">
        <v>41.746944173386062</v>
      </c>
      <c r="D5" s="63" t="s">
        <v>164</v>
      </c>
      <c r="E5" s="61" t="s">
        <v>103</v>
      </c>
      <c r="G5" s="40" t="s">
        <v>190</v>
      </c>
      <c r="H5" s="34" t="s">
        <v>191</v>
      </c>
    </row>
    <row r="6" spans="1:29" ht="39" x14ac:dyDescent="0.25">
      <c r="A6" s="35" t="s">
        <v>72</v>
      </c>
      <c r="B6" s="65" t="s">
        <v>60</v>
      </c>
      <c r="C6" s="66">
        <v>0</v>
      </c>
      <c r="D6" s="64" t="s">
        <v>165</v>
      </c>
      <c r="E6" s="62" t="s">
        <v>108</v>
      </c>
    </row>
    <row r="7" spans="1:29" ht="39" x14ac:dyDescent="0.25">
      <c r="A7" s="35" t="s">
        <v>73</v>
      </c>
      <c r="B7" s="65" t="s">
        <v>61</v>
      </c>
      <c r="C7" s="66">
        <v>0</v>
      </c>
      <c r="D7" s="64" t="s">
        <v>166</v>
      </c>
      <c r="E7" s="62" t="s">
        <v>115</v>
      </c>
    </row>
    <row r="8" spans="1:29" ht="39" x14ac:dyDescent="0.25">
      <c r="A8" s="35" t="s">
        <v>67</v>
      </c>
      <c r="B8" s="65" t="s">
        <v>62</v>
      </c>
      <c r="C8" s="66">
        <v>0</v>
      </c>
      <c r="D8" s="64" t="s">
        <v>167</v>
      </c>
      <c r="E8" s="62" t="s">
        <v>122</v>
      </c>
    </row>
    <row r="9" spans="1:29" ht="52" x14ac:dyDescent="0.25">
      <c r="A9" s="35" t="s">
        <v>70</v>
      </c>
      <c r="B9" s="65" t="s">
        <v>63</v>
      </c>
      <c r="C9" s="66">
        <v>0.98938456487739335</v>
      </c>
      <c r="D9" s="64" t="s">
        <v>168</v>
      </c>
      <c r="E9" s="62" t="s">
        <v>129</v>
      </c>
    </row>
    <row r="10" spans="1:29" ht="65" x14ac:dyDescent="0.25">
      <c r="A10" s="35" t="s">
        <v>71</v>
      </c>
      <c r="B10" s="65" t="s">
        <v>64</v>
      </c>
      <c r="C10" s="66">
        <v>0</v>
      </c>
      <c r="D10" s="64" t="s">
        <v>169</v>
      </c>
      <c r="E10" s="62" t="s">
        <v>130</v>
      </c>
    </row>
    <row r="11" spans="1:29" ht="39" x14ac:dyDescent="0.25">
      <c r="A11" s="35" t="s">
        <v>97</v>
      </c>
      <c r="B11" s="65" t="s">
        <v>65</v>
      </c>
      <c r="C11" s="66">
        <v>0.45377741256227205</v>
      </c>
      <c r="D11" s="64" t="s">
        <v>170</v>
      </c>
      <c r="E11" s="62" t="s">
        <v>137</v>
      </c>
    </row>
    <row r="12" spans="1:29" ht="39" x14ac:dyDescent="0.25">
      <c r="A12" s="35" t="s">
        <v>69</v>
      </c>
      <c r="B12" s="65" t="s">
        <v>66</v>
      </c>
      <c r="C12" s="67">
        <v>1.682952380952381</v>
      </c>
      <c r="D12" s="64" t="s">
        <v>171</v>
      </c>
      <c r="E12" s="62" t="s">
        <v>142</v>
      </c>
    </row>
  </sheetData>
  <conditionalFormatting sqref="B2">
    <cfRule type="expression" dxfId="77" priority="1" stopIfTrue="1">
      <formula>$AC2=1</formula>
    </cfRule>
    <cfRule type="expression" dxfId="76" priority="2" stopIfTrue="1">
      <formula>$AC2=2</formula>
    </cfRule>
    <cfRule type="expression" dxfId="75" priority="3" stopIfTrue="1">
      <formula>$AC2=10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3</v>
      </c>
      <c r="B2" s="28" t="s">
        <v>13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50" x14ac:dyDescent="0.25">
      <c r="A5" s="35" t="s">
        <v>68</v>
      </c>
      <c r="B5" s="65" t="s">
        <v>59</v>
      </c>
      <c r="C5" s="66">
        <v>1.4666955215945682E-2</v>
      </c>
      <c r="D5" s="63" t="s">
        <v>172</v>
      </c>
      <c r="E5" s="61" t="s">
        <v>101</v>
      </c>
      <c r="G5" s="40" t="s">
        <v>192</v>
      </c>
      <c r="H5" s="34" t="s">
        <v>193</v>
      </c>
    </row>
    <row r="6" spans="1:29" ht="39" x14ac:dyDescent="0.25">
      <c r="A6" s="35" t="s">
        <v>72</v>
      </c>
      <c r="B6" s="65" t="s">
        <v>60</v>
      </c>
      <c r="C6" s="66">
        <v>4.7907156908970876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4.0536846756299566E-3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0.91629530125870706</v>
      </c>
      <c r="D8" s="64" t="s">
        <v>159</v>
      </c>
      <c r="E8" s="62" t="s">
        <v>125</v>
      </c>
    </row>
    <row r="9" spans="1:29" ht="52" x14ac:dyDescent="0.25">
      <c r="A9" s="35" t="s">
        <v>70</v>
      </c>
      <c r="B9" s="65" t="s">
        <v>63</v>
      </c>
      <c r="C9" s="66">
        <v>6.4277234690025289E-4</v>
      </c>
      <c r="D9" s="64" t="s">
        <v>174</v>
      </c>
      <c r="E9" s="62" t="s">
        <v>127</v>
      </c>
    </row>
    <row r="10" spans="1:29" ht="65" x14ac:dyDescent="0.25">
      <c r="A10" s="35" t="s">
        <v>71</v>
      </c>
      <c r="B10" s="65" t="s">
        <v>64</v>
      </c>
      <c r="C10" s="66">
        <v>7.8011155865610443E-2</v>
      </c>
      <c r="D10" s="64" t="s">
        <v>161</v>
      </c>
      <c r="E10" s="62" t="s">
        <v>132</v>
      </c>
    </row>
    <row r="11" spans="1:29" ht="39" x14ac:dyDescent="0.25">
      <c r="A11" s="35" t="s">
        <v>97</v>
      </c>
      <c r="B11" s="65" t="s">
        <v>65</v>
      </c>
      <c r="C11" s="66">
        <v>1.0838825919737427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956941.81581818173</v>
      </c>
      <c r="D12" s="64" t="s">
        <v>175</v>
      </c>
      <c r="E12" s="62" t="s">
        <v>148</v>
      </c>
    </row>
  </sheetData>
  <conditionalFormatting sqref="B2">
    <cfRule type="expression" dxfId="74" priority="1" stopIfTrue="1">
      <formula>$AC2=1</formula>
    </cfRule>
    <cfRule type="expression" dxfId="73" priority="2" stopIfTrue="1">
      <formula>$AC2=2</formula>
    </cfRule>
    <cfRule type="expression" dxfId="72" priority="3" stopIfTrue="1">
      <formula>$AC2=10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4</v>
      </c>
      <c r="B2" s="28" t="s">
        <v>42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87.5" x14ac:dyDescent="0.25">
      <c r="A5" s="35" t="s">
        <v>68</v>
      </c>
      <c r="B5" s="65" t="s">
        <v>59</v>
      </c>
      <c r="C5" s="66">
        <v>1765.0122156697557</v>
      </c>
      <c r="D5" s="63" t="s">
        <v>176</v>
      </c>
      <c r="E5" s="61" t="s">
        <v>107</v>
      </c>
      <c r="G5" s="40" t="s">
        <v>188</v>
      </c>
      <c r="H5" s="34" t="s">
        <v>189</v>
      </c>
    </row>
    <row r="6" spans="1:29" ht="39" x14ac:dyDescent="0.25">
      <c r="A6" s="35" t="s">
        <v>72</v>
      </c>
      <c r="B6" s="65" t="s">
        <v>60</v>
      </c>
      <c r="C6" s="66">
        <v>1.9092445381883514E-5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0.13972610978089689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0.90477093271708997</v>
      </c>
      <c r="D8" s="64" t="s">
        <v>159</v>
      </c>
      <c r="E8" s="62" t="s">
        <v>125</v>
      </c>
    </row>
    <row r="9" spans="1:29" ht="52" x14ac:dyDescent="0.25">
      <c r="A9" s="35" t="s">
        <v>70</v>
      </c>
      <c r="B9" s="65" t="s">
        <v>63</v>
      </c>
      <c r="C9" s="66">
        <v>0.85966775215242686</v>
      </c>
      <c r="D9" s="64" t="s">
        <v>168</v>
      </c>
      <c r="E9" s="62" t="s">
        <v>129</v>
      </c>
    </row>
    <row r="10" spans="1:29" ht="65" x14ac:dyDescent="0.25">
      <c r="A10" s="35" t="s">
        <v>71</v>
      </c>
      <c r="B10" s="65" t="s">
        <v>64</v>
      </c>
      <c r="C10" s="66">
        <v>0</v>
      </c>
      <c r="D10" s="64" t="s">
        <v>169</v>
      </c>
      <c r="E10" s="62" t="s">
        <v>130</v>
      </c>
    </row>
    <row r="11" spans="1:29" ht="39" x14ac:dyDescent="0.25">
      <c r="A11" s="35" t="s">
        <v>97</v>
      </c>
      <c r="B11" s="65" t="s">
        <v>65</v>
      </c>
      <c r="C11" s="66">
        <v>1.2101937657961248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5.3203703703703704E-2</v>
      </c>
      <c r="D12" s="64" t="s">
        <v>171</v>
      </c>
      <c r="E12" s="62" t="s">
        <v>142</v>
      </c>
    </row>
  </sheetData>
  <conditionalFormatting sqref="B2">
    <cfRule type="expression" dxfId="71" priority="1" stopIfTrue="1">
      <formula>$AC2=1</formula>
    </cfRule>
    <cfRule type="expression" dxfId="70" priority="2" stopIfTrue="1">
      <formula>$AC2=2</formula>
    </cfRule>
    <cfRule type="expression" dxfId="69" priority="3" stopIfTrue="1">
      <formula>$AC2=10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5</v>
      </c>
      <c r="B2" s="28" t="s">
        <v>4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50" x14ac:dyDescent="0.25">
      <c r="A5" s="35" t="s">
        <v>68</v>
      </c>
      <c r="B5" s="65" t="s">
        <v>59</v>
      </c>
      <c r="C5" s="66">
        <v>0.14698764234864362</v>
      </c>
      <c r="D5" s="63" t="s">
        <v>172</v>
      </c>
      <c r="E5" s="61" t="s">
        <v>101</v>
      </c>
      <c r="G5" s="40" t="s">
        <v>192</v>
      </c>
      <c r="H5" s="34" t="s">
        <v>193</v>
      </c>
    </row>
    <row r="6" spans="1:29" ht="39" x14ac:dyDescent="0.25">
      <c r="A6" s="35" t="s">
        <v>72</v>
      </c>
      <c r="B6" s="65" t="s">
        <v>60</v>
      </c>
      <c r="C6" s="66">
        <v>2.076085230395534E-2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7.0764995786784787E-2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0.77313399726798282</v>
      </c>
      <c r="D8" s="64" t="s">
        <v>159</v>
      </c>
      <c r="E8" s="62" t="s">
        <v>125</v>
      </c>
    </row>
    <row r="9" spans="1:29" ht="52" x14ac:dyDescent="0.25">
      <c r="A9" s="35" t="s">
        <v>70</v>
      </c>
      <c r="B9" s="65" t="s">
        <v>63</v>
      </c>
      <c r="C9" s="66">
        <v>0.12093523335950258</v>
      </c>
      <c r="D9" s="64" t="s">
        <v>174</v>
      </c>
      <c r="E9" s="62" t="s">
        <v>127</v>
      </c>
    </row>
    <row r="10" spans="1:29" ht="65" x14ac:dyDescent="0.25">
      <c r="A10" s="35" t="s">
        <v>71</v>
      </c>
      <c r="B10" s="65" t="s">
        <v>64</v>
      </c>
      <c r="C10" s="66">
        <v>7.8966908467522633E-5</v>
      </c>
      <c r="D10" s="64" t="s">
        <v>161</v>
      </c>
      <c r="E10" s="62" t="s">
        <v>132</v>
      </c>
    </row>
    <row r="11" spans="1:29" ht="39" x14ac:dyDescent="0.25">
      <c r="A11" s="35" t="s">
        <v>97</v>
      </c>
      <c r="B11" s="65" t="s">
        <v>65</v>
      </c>
      <c r="C11" s="66">
        <v>1.000322848344519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689.70511965811966</v>
      </c>
      <c r="D12" s="64" t="s">
        <v>177</v>
      </c>
      <c r="E12" s="62" t="s">
        <v>146</v>
      </c>
    </row>
  </sheetData>
  <conditionalFormatting sqref="B2">
    <cfRule type="expression" dxfId="68" priority="1" stopIfTrue="1">
      <formula>$AC2=1</formula>
    </cfRule>
    <cfRule type="expression" dxfId="67" priority="2" stopIfTrue="1">
      <formula>$AC2=2</formula>
    </cfRule>
    <cfRule type="expression" dxfId="66" priority="3" stopIfTrue="1">
      <formula>$AC2=10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6</v>
      </c>
      <c r="B2" s="28" t="s">
        <v>38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50" x14ac:dyDescent="0.25">
      <c r="A5" s="35" t="s">
        <v>68</v>
      </c>
      <c r="B5" s="65" t="s">
        <v>59</v>
      </c>
      <c r="C5" s="66">
        <v>713.50872442839955</v>
      </c>
      <c r="D5" s="63" t="s">
        <v>176</v>
      </c>
      <c r="E5" s="61" t="s">
        <v>107</v>
      </c>
      <c r="G5" s="40" t="s">
        <v>190</v>
      </c>
      <c r="H5" s="34" t="s">
        <v>191</v>
      </c>
    </row>
    <row r="6" spans="1:29" ht="39" x14ac:dyDescent="0.25">
      <c r="A6" s="35" t="s">
        <v>72</v>
      </c>
      <c r="B6" s="65" t="s">
        <v>60</v>
      </c>
      <c r="C6" s="66">
        <v>3.8813038563428895E-2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3.7644961595222903E-2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0</v>
      </c>
      <c r="D8" s="64" t="s">
        <v>167</v>
      </c>
      <c r="E8" s="62" t="s">
        <v>122</v>
      </c>
    </row>
    <row r="9" spans="1:29" ht="52" x14ac:dyDescent="0.25">
      <c r="A9" s="35" t="s">
        <v>70</v>
      </c>
      <c r="B9" s="65" t="s">
        <v>63</v>
      </c>
      <c r="C9" s="66">
        <v>0.96077751836178804</v>
      </c>
      <c r="D9" s="64" t="s">
        <v>168</v>
      </c>
      <c r="E9" s="62" t="s">
        <v>129</v>
      </c>
    </row>
    <row r="10" spans="1:29" ht="65" x14ac:dyDescent="0.25">
      <c r="A10" s="35" t="s">
        <v>71</v>
      </c>
      <c r="B10" s="65" t="s">
        <v>64</v>
      </c>
      <c r="C10" s="66">
        <v>0</v>
      </c>
      <c r="D10" s="64" t="s">
        <v>169</v>
      </c>
      <c r="E10" s="62" t="s">
        <v>130</v>
      </c>
    </row>
    <row r="11" spans="1:29" ht="39" x14ac:dyDescent="0.25">
      <c r="A11" s="35" t="s">
        <v>97</v>
      </c>
      <c r="B11" s="65" t="s">
        <v>65</v>
      </c>
      <c r="C11" s="66">
        <v>1.2084837545126355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0.10300000000000001</v>
      </c>
      <c r="D12" s="64" t="s">
        <v>171</v>
      </c>
      <c r="E12" s="62" t="s">
        <v>142</v>
      </c>
    </row>
  </sheetData>
  <conditionalFormatting sqref="B2">
    <cfRule type="expression" dxfId="65" priority="1" stopIfTrue="1">
      <formula>$AC2=1</formula>
    </cfRule>
    <cfRule type="expression" dxfId="64" priority="2" stopIfTrue="1">
      <formula>$AC2=2</formula>
    </cfRule>
    <cfRule type="expression" dxfId="63" priority="3" stopIfTrue="1">
      <formula>$AC2=10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7</v>
      </c>
      <c r="B2" s="28" t="s">
        <v>14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87.5" x14ac:dyDescent="0.25">
      <c r="A5" s="35" t="s">
        <v>68</v>
      </c>
      <c r="B5" s="65" t="s">
        <v>59</v>
      </c>
      <c r="C5" s="66">
        <v>111483.90513833992</v>
      </c>
      <c r="D5" s="63" t="s">
        <v>176</v>
      </c>
      <c r="E5" s="61" t="s">
        <v>107</v>
      </c>
      <c r="G5" s="40" t="s">
        <v>188</v>
      </c>
      <c r="H5" s="34" t="s">
        <v>189</v>
      </c>
    </row>
    <row r="6" spans="1:29" ht="39" x14ac:dyDescent="0.25">
      <c r="A6" s="35" t="s">
        <v>72</v>
      </c>
      <c r="B6" s="65" t="s">
        <v>60</v>
      </c>
      <c r="C6" s="66">
        <v>0</v>
      </c>
      <c r="D6" s="64" t="s">
        <v>165</v>
      </c>
      <c r="E6" s="62" t="s">
        <v>108</v>
      </c>
    </row>
    <row r="7" spans="1:29" ht="39" x14ac:dyDescent="0.25">
      <c r="A7" s="35" t="s">
        <v>73</v>
      </c>
      <c r="B7" s="65" t="s">
        <v>61</v>
      </c>
      <c r="C7" s="66">
        <v>1.7727084304482103E-3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1</v>
      </c>
      <c r="D8" s="64" t="s">
        <v>159</v>
      </c>
      <c r="E8" s="62" t="s">
        <v>125</v>
      </c>
    </row>
    <row r="9" spans="1:29" ht="52" x14ac:dyDescent="0.25">
      <c r="A9" s="35" t="s">
        <v>70</v>
      </c>
      <c r="B9" s="65" t="s">
        <v>63</v>
      </c>
      <c r="C9" s="66">
        <v>0.99006877373391555</v>
      </c>
      <c r="D9" s="64" t="s">
        <v>168</v>
      </c>
      <c r="E9" s="62" t="s">
        <v>129</v>
      </c>
    </row>
    <row r="10" spans="1:29" ht="65" x14ac:dyDescent="0.25">
      <c r="A10" s="35" t="s">
        <v>71</v>
      </c>
      <c r="B10" s="65" t="s">
        <v>64</v>
      </c>
      <c r="C10" s="66">
        <v>0</v>
      </c>
      <c r="D10" s="64" t="s">
        <v>169</v>
      </c>
      <c r="E10" s="62" t="s">
        <v>130</v>
      </c>
    </row>
    <row r="11" spans="1:29" ht="39" x14ac:dyDescent="0.25">
      <c r="A11" s="35" t="s">
        <v>97</v>
      </c>
      <c r="B11" s="65" t="s">
        <v>65</v>
      </c>
      <c r="C11" s="66">
        <v>909.54545454545462</v>
      </c>
      <c r="D11" s="64" t="s">
        <v>178</v>
      </c>
      <c r="E11" s="62" t="s">
        <v>140</v>
      </c>
    </row>
    <row r="12" spans="1:29" ht="39" x14ac:dyDescent="0.25">
      <c r="A12" s="35" t="s">
        <v>69</v>
      </c>
      <c r="B12" s="65" t="s">
        <v>66</v>
      </c>
      <c r="C12" s="67">
        <v>8.2183928571428577</v>
      </c>
      <c r="D12" s="64" t="s">
        <v>171</v>
      </c>
      <c r="E12" s="62" t="s">
        <v>142</v>
      </c>
    </row>
  </sheetData>
  <conditionalFormatting sqref="B2">
    <cfRule type="expression" dxfId="62" priority="1" stopIfTrue="1">
      <formula>$AC2=1</formula>
    </cfRule>
    <cfRule type="expression" dxfId="61" priority="2" stopIfTrue="1">
      <formula>$AC2=2</formula>
    </cfRule>
    <cfRule type="expression" dxfId="60" priority="3" stopIfTrue="1">
      <formula>$AC2=10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8</v>
      </c>
      <c r="B2" s="28" t="s">
        <v>43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50" x14ac:dyDescent="0.25">
      <c r="A5" s="35" t="s">
        <v>68</v>
      </c>
      <c r="B5" s="65" t="s">
        <v>59</v>
      </c>
      <c r="C5" s="66">
        <v>115071.05454545455</v>
      </c>
      <c r="D5" s="63" t="s">
        <v>176</v>
      </c>
      <c r="E5" s="61" t="s">
        <v>107</v>
      </c>
      <c r="G5" s="40" t="s">
        <v>190</v>
      </c>
      <c r="H5" s="34" t="s">
        <v>191</v>
      </c>
    </row>
    <row r="6" spans="1:29" ht="39" x14ac:dyDescent="0.25">
      <c r="A6" s="35" t="s">
        <v>72</v>
      </c>
      <c r="B6" s="65" t="s">
        <v>60</v>
      </c>
      <c r="C6" s="66">
        <v>1.2216878488358498E-2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2.6856679691753061E-3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0</v>
      </c>
      <c r="D8" s="64" t="s">
        <v>167</v>
      </c>
      <c r="E8" s="62" t="s">
        <v>122</v>
      </c>
    </row>
    <row r="9" spans="1:29" ht="52" x14ac:dyDescent="0.25">
      <c r="A9" s="35" t="s">
        <v>70</v>
      </c>
      <c r="B9" s="65" t="s">
        <v>63</v>
      </c>
      <c r="C9" s="66">
        <v>0.99724161399376299</v>
      </c>
      <c r="D9" s="64" t="s">
        <v>168</v>
      </c>
      <c r="E9" s="62" t="s">
        <v>129</v>
      </c>
    </row>
    <row r="10" spans="1:29" ht="65" x14ac:dyDescent="0.25">
      <c r="A10" s="35" t="s">
        <v>71</v>
      </c>
      <c r="B10" s="65" t="s">
        <v>64</v>
      </c>
      <c r="C10" s="66">
        <v>2.7316934587258681E-6</v>
      </c>
      <c r="D10" s="64" t="s">
        <v>161</v>
      </c>
      <c r="E10" s="62" t="s">
        <v>132</v>
      </c>
    </row>
    <row r="11" spans="1:29" ht="39" x14ac:dyDescent="0.25">
      <c r="A11" s="35" t="s">
        <v>97</v>
      </c>
      <c r="B11" s="65" t="s">
        <v>65</v>
      </c>
      <c r="C11" s="66">
        <v>8.4727272727272727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2.7411764705882354E-2</v>
      </c>
      <c r="D12" s="64" t="s">
        <v>171</v>
      </c>
      <c r="E12" s="62" t="s">
        <v>142</v>
      </c>
    </row>
  </sheetData>
  <conditionalFormatting sqref="B2">
    <cfRule type="expression" dxfId="59" priority="1" stopIfTrue="1">
      <formula>$AC2=1</formula>
    </cfRule>
    <cfRule type="expression" dxfId="58" priority="2" stopIfTrue="1">
      <formula>$AC2=2</formula>
    </cfRule>
    <cfRule type="expression" dxfId="57" priority="3" stopIfTrue="1">
      <formula>$AC2=10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9</v>
      </c>
      <c r="B2" s="28" t="s">
        <v>26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87.5" x14ac:dyDescent="0.25">
      <c r="A5" s="35" t="s">
        <v>68</v>
      </c>
      <c r="B5" s="65" t="s">
        <v>59</v>
      </c>
      <c r="C5" s="66">
        <v>282.18998640081207</v>
      </c>
      <c r="D5" s="63" t="s">
        <v>176</v>
      </c>
      <c r="E5" s="61" t="s">
        <v>107</v>
      </c>
      <c r="G5" s="40" t="s">
        <v>188</v>
      </c>
      <c r="H5" s="34" t="s">
        <v>189</v>
      </c>
    </row>
    <row r="6" spans="1:29" ht="39" x14ac:dyDescent="0.25">
      <c r="A6" s="35" t="s">
        <v>72</v>
      </c>
      <c r="B6" s="65" t="s">
        <v>60</v>
      </c>
      <c r="C6" s="66">
        <v>0</v>
      </c>
      <c r="D6" s="64" t="s">
        <v>165</v>
      </c>
      <c r="E6" s="62" t="s">
        <v>108</v>
      </c>
    </row>
    <row r="7" spans="1:29" ht="39" x14ac:dyDescent="0.25">
      <c r="A7" s="35" t="s">
        <v>73</v>
      </c>
      <c r="B7" s="65" t="s">
        <v>61</v>
      </c>
      <c r="C7" s="66">
        <v>6.1087947843381633E-7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1</v>
      </c>
      <c r="D8" s="64" t="s">
        <v>159</v>
      </c>
      <c r="E8" s="62" t="s">
        <v>125</v>
      </c>
    </row>
    <row r="9" spans="1:29" ht="52" x14ac:dyDescent="0.25">
      <c r="A9" s="35" t="s">
        <v>70</v>
      </c>
      <c r="B9" s="65" t="s">
        <v>63</v>
      </c>
      <c r="C9" s="66">
        <v>0.99968623745068164</v>
      </c>
      <c r="D9" s="64" t="s">
        <v>168</v>
      </c>
      <c r="E9" s="62" t="s">
        <v>129</v>
      </c>
    </row>
    <row r="10" spans="1:29" ht="65" x14ac:dyDescent="0.25">
      <c r="A10" s="35" t="s">
        <v>71</v>
      </c>
      <c r="B10" s="65" t="s">
        <v>64</v>
      </c>
      <c r="C10" s="66">
        <v>0</v>
      </c>
      <c r="D10" s="64" t="s">
        <v>169</v>
      </c>
      <c r="E10" s="62" t="s">
        <v>130</v>
      </c>
    </row>
    <row r="11" spans="1:29" ht="39" x14ac:dyDescent="0.25">
      <c r="A11" s="35" t="s">
        <v>97</v>
      </c>
      <c r="B11" s="65" t="s">
        <v>65</v>
      </c>
      <c r="C11" s="66">
        <v>8.8682028002834756E-2</v>
      </c>
      <c r="D11" s="64" t="s">
        <v>170</v>
      </c>
      <c r="E11" s="62" t="s">
        <v>137</v>
      </c>
    </row>
    <row r="12" spans="1:29" ht="39" x14ac:dyDescent="0.25">
      <c r="A12" s="35" t="s">
        <v>69</v>
      </c>
      <c r="B12" s="65" t="s">
        <v>66</v>
      </c>
      <c r="C12" s="67">
        <v>0.11871794871794872</v>
      </c>
      <c r="D12" s="64" t="s">
        <v>171</v>
      </c>
      <c r="E12" s="62" t="s">
        <v>142</v>
      </c>
    </row>
  </sheetData>
  <conditionalFormatting sqref="B2">
    <cfRule type="expression" dxfId="56" priority="1" stopIfTrue="1">
      <formula>$AC2=1</formula>
    </cfRule>
    <cfRule type="expression" dxfId="55" priority="2" stopIfTrue="1">
      <formula>$AC2=2</formula>
    </cfRule>
    <cfRule type="expression" dxfId="54" priority="3" stopIfTrue="1">
      <formula>$AC2=10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10</v>
      </c>
      <c r="B2" s="28" t="s">
        <v>27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50" x14ac:dyDescent="0.25">
      <c r="A5" s="35" t="s">
        <v>68</v>
      </c>
      <c r="B5" s="65" t="s">
        <v>59</v>
      </c>
      <c r="C5" s="66">
        <v>257.79508706467664</v>
      </c>
      <c r="D5" s="63" t="s">
        <v>176</v>
      </c>
      <c r="E5" s="61" t="s">
        <v>107</v>
      </c>
      <c r="G5" s="40" t="s">
        <v>190</v>
      </c>
      <c r="H5" s="34" t="s">
        <v>191</v>
      </c>
    </row>
    <row r="6" spans="1:29" ht="39" x14ac:dyDescent="0.25">
      <c r="A6" s="35" t="s">
        <v>72</v>
      </c>
      <c r="B6" s="65" t="s">
        <v>60</v>
      </c>
      <c r="C6" s="66">
        <v>0</v>
      </c>
      <c r="D6" s="64" t="s">
        <v>165</v>
      </c>
      <c r="E6" s="62" t="s">
        <v>108</v>
      </c>
    </row>
    <row r="7" spans="1:29" ht="39" x14ac:dyDescent="0.25">
      <c r="A7" s="35" t="s">
        <v>73</v>
      </c>
      <c r="B7" s="65" t="s">
        <v>61</v>
      </c>
      <c r="C7" s="66">
        <v>0.10109790965184183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0</v>
      </c>
      <c r="D8" s="64" t="s">
        <v>167</v>
      </c>
      <c r="E8" s="62" t="s">
        <v>122</v>
      </c>
    </row>
    <row r="9" spans="1:29" ht="52" x14ac:dyDescent="0.25">
      <c r="A9" s="35" t="s">
        <v>70</v>
      </c>
      <c r="B9" s="65" t="s">
        <v>63</v>
      </c>
      <c r="C9" s="66">
        <v>0.6625403900964556</v>
      </c>
      <c r="D9" s="64" t="s">
        <v>168</v>
      </c>
      <c r="E9" s="62" t="s">
        <v>129</v>
      </c>
    </row>
    <row r="10" spans="1:29" ht="65" x14ac:dyDescent="0.25">
      <c r="A10" s="35" t="s">
        <v>71</v>
      </c>
      <c r="B10" s="65" t="s">
        <v>64</v>
      </c>
      <c r="C10" s="66">
        <v>1.3099736611514427E-2</v>
      </c>
      <c r="D10" s="64" t="s">
        <v>161</v>
      </c>
      <c r="E10" s="62" t="s">
        <v>132</v>
      </c>
    </row>
    <row r="11" spans="1:29" ht="39" x14ac:dyDescent="0.25">
      <c r="A11" s="35" t="s">
        <v>97</v>
      </c>
      <c r="B11" s="65" t="s">
        <v>65</v>
      </c>
      <c r="C11" s="66">
        <v>0.21512970859985786</v>
      </c>
      <c r="D11" s="64" t="s">
        <v>170</v>
      </c>
      <c r="E11" s="62" t="s">
        <v>137</v>
      </c>
    </row>
    <row r="12" spans="1:29" ht="39" x14ac:dyDescent="0.25">
      <c r="A12" s="35" t="s">
        <v>69</v>
      </c>
      <c r="B12" s="65" t="s">
        <v>66</v>
      </c>
      <c r="C12" s="67">
        <v>0.20179166666666667</v>
      </c>
      <c r="D12" s="64" t="s">
        <v>171</v>
      </c>
      <c r="E12" s="62" t="s">
        <v>142</v>
      </c>
    </row>
  </sheetData>
  <conditionalFormatting sqref="B2">
    <cfRule type="expression" dxfId="53" priority="1" stopIfTrue="1">
      <formula>$AC2=1</formula>
    </cfRule>
    <cfRule type="expression" dxfId="52" priority="2" stopIfTrue="1">
      <formula>$AC2=2</formula>
    </cfRule>
    <cfRule type="expression" dxfId="51" priority="3" stopIfTrue="1">
      <formula>$AC2=10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11</v>
      </c>
      <c r="B2" s="28" t="s">
        <v>2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50" x14ac:dyDescent="0.25">
      <c r="A5" s="35" t="s">
        <v>68</v>
      </c>
      <c r="B5" s="65" t="s">
        <v>59</v>
      </c>
      <c r="C5" s="66">
        <v>0.29877595432557208</v>
      </c>
      <c r="D5" s="63" t="s">
        <v>172</v>
      </c>
      <c r="E5" s="61" t="s">
        <v>101</v>
      </c>
      <c r="G5" s="40" t="s">
        <v>192</v>
      </c>
      <c r="H5" s="34" t="s">
        <v>193</v>
      </c>
    </row>
    <row r="6" spans="1:29" ht="39" x14ac:dyDescent="0.25">
      <c r="A6" s="35" t="s">
        <v>72</v>
      </c>
      <c r="B6" s="65" t="s">
        <v>60</v>
      </c>
      <c r="C6" s="66">
        <v>9.9003732445244658E-2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9.9936400890262636E-2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0.85062648897213078</v>
      </c>
      <c r="D8" s="64" t="s">
        <v>159</v>
      </c>
      <c r="E8" s="62" t="s">
        <v>125</v>
      </c>
    </row>
    <row r="9" spans="1:29" ht="52" x14ac:dyDescent="0.25">
      <c r="A9" s="35" t="s">
        <v>70</v>
      </c>
      <c r="B9" s="65" t="s">
        <v>63</v>
      </c>
      <c r="C9" s="66">
        <v>9.3003271160042117E-2</v>
      </c>
      <c r="D9" s="64" t="s">
        <v>174</v>
      </c>
      <c r="E9" s="62" t="s">
        <v>127</v>
      </c>
    </row>
    <row r="10" spans="1:29" ht="65" x14ac:dyDescent="0.25">
      <c r="A10" s="35" t="s">
        <v>71</v>
      </c>
      <c r="B10" s="65" t="s">
        <v>64</v>
      </c>
      <c r="C10" s="66">
        <v>1.44466976441041E-2</v>
      </c>
      <c r="D10" s="64" t="s">
        <v>161</v>
      </c>
      <c r="E10" s="62" t="s">
        <v>132</v>
      </c>
    </row>
    <row r="11" spans="1:29" ht="39" x14ac:dyDescent="0.25">
      <c r="A11" s="35" t="s">
        <v>97</v>
      </c>
      <c r="B11" s="65" t="s">
        <v>65</v>
      </c>
      <c r="C11" s="66">
        <v>1.0167538667915688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9162.61204</v>
      </c>
      <c r="D12" s="64" t="s">
        <v>175</v>
      </c>
      <c r="E12" s="62" t="s">
        <v>148</v>
      </c>
    </row>
  </sheetData>
  <conditionalFormatting sqref="B2">
    <cfRule type="expression" dxfId="50" priority="1" stopIfTrue="1">
      <formula>$AC2=1</formula>
    </cfRule>
    <cfRule type="expression" dxfId="49" priority="2" stopIfTrue="1">
      <formula>$AC2=2</formula>
    </cfRule>
    <cfRule type="expression" dxfId="48" priority="3" stopIfTrue="1">
      <formula>$AC2=10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12</v>
      </c>
      <c r="B2" s="28" t="s">
        <v>20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50" x14ac:dyDescent="0.25">
      <c r="A5" s="35" t="s">
        <v>68</v>
      </c>
      <c r="B5" s="65" t="s">
        <v>59</v>
      </c>
      <c r="C5" s="66">
        <v>90.699177958026993</v>
      </c>
      <c r="D5" s="63" t="s">
        <v>156</v>
      </c>
      <c r="E5" s="61" t="s">
        <v>105</v>
      </c>
      <c r="G5" s="40" t="s">
        <v>190</v>
      </c>
      <c r="H5" s="34" t="s">
        <v>191</v>
      </c>
    </row>
    <row r="6" spans="1:29" ht="39" x14ac:dyDescent="0.25">
      <c r="A6" s="35" t="s">
        <v>72</v>
      </c>
      <c r="B6" s="65" t="s">
        <v>60</v>
      </c>
      <c r="C6" s="66">
        <v>5.598772628636091E-4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1.9359409355554681E-3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6.2314493947258015E-3</v>
      </c>
      <c r="D8" s="64" t="s">
        <v>179</v>
      </c>
      <c r="E8" s="62" t="s">
        <v>123</v>
      </c>
    </row>
    <row r="9" spans="1:29" ht="52" x14ac:dyDescent="0.25">
      <c r="A9" s="35" t="s">
        <v>70</v>
      </c>
      <c r="B9" s="65" t="s">
        <v>63</v>
      </c>
      <c r="C9" s="66">
        <v>0.99714548844046302</v>
      </c>
      <c r="D9" s="64" t="s">
        <v>168</v>
      </c>
      <c r="E9" s="62" t="s">
        <v>129</v>
      </c>
    </row>
    <row r="10" spans="1:29" ht="65" x14ac:dyDescent="0.25">
      <c r="A10" s="35" t="s">
        <v>71</v>
      </c>
      <c r="B10" s="65" t="s">
        <v>64</v>
      </c>
      <c r="C10" s="66">
        <v>1.1902477054255954E-7</v>
      </c>
      <c r="D10" s="64" t="s">
        <v>161</v>
      </c>
      <c r="E10" s="62" t="s">
        <v>132</v>
      </c>
    </row>
    <row r="11" spans="1:29" ht="39" x14ac:dyDescent="0.25">
      <c r="A11" s="35" t="s">
        <v>97</v>
      </c>
      <c r="B11" s="65" t="s">
        <v>65</v>
      </c>
      <c r="C11" s="66">
        <v>8.4573949650952954E-2</v>
      </c>
      <c r="D11" s="64" t="s">
        <v>170</v>
      </c>
      <c r="E11" s="62" t="s">
        <v>137</v>
      </c>
    </row>
    <row r="12" spans="1:29" ht="39" x14ac:dyDescent="0.25">
      <c r="A12" s="35" t="s">
        <v>69</v>
      </c>
      <c r="B12" s="65" t="s">
        <v>66</v>
      </c>
      <c r="C12" s="67">
        <v>0.33309677419354838</v>
      </c>
      <c r="D12" s="64" t="s">
        <v>171</v>
      </c>
      <c r="E12" s="62" t="s">
        <v>142</v>
      </c>
    </row>
  </sheetData>
  <conditionalFormatting sqref="B2">
    <cfRule type="expression" dxfId="47" priority="1" stopIfTrue="1">
      <formula>$AC2=1</formula>
    </cfRule>
    <cfRule type="expression" dxfId="46" priority="2" stopIfTrue="1">
      <formula>$AC2=2</formula>
    </cfRule>
    <cfRule type="expression" dxfId="45" priority="3" stopIfTrue="1">
      <formula>$AC2=10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13</v>
      </c>
      <c r="B2" s="28" t="s">
        <v>39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50" x14ac:dyDescent="0.25">
      <c r="A5" s="35" t="s">
        <v>68</v>
      </c>
      <c r="B5" s="65" t="s">
        <v>59</v>
      </c>
      <c r="C5" s="66">
        <v>95.129627560224137</v>
      </c>
      <c r="D5" s="63" t="s">
        <v>156</v>
      </c>
      <c r="E5" s="61" t="s">
        <v>105</v>
      </c>
      <c r="G5" s="40" t="s">
        <v>190</v>
      </c>
      <c r="H5" s="34" t="s">
        <v>191</v>
      </c>
    </row>
    <row r="6" spans="1:29" ht="39" x14ac:dyDescent="0.25">
      <c r="A6" s="35" t="s">
        <v>72</v>
      </c>
      <c r="B6" s="65" t="s">
        <v>60</v>
      </c>
      <c r="C6" s="66">
        <v>4.9227934482460607E-2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4.6774300604651195E-2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0</v>
      </c>
      <c r="D8" s="64" t="s">
        <v>167</v>
      </c>
      <c r="E8" s="62" t="s">
        <v>122</v>
      </c>
    </row>
    <row r="9" spans="1:29" ht="52" x14ac:dyDescent="0.25">
      <c r="A9" s="35" t="s">
        <v>70</v>
      </c>
      <c r="B9" s="65" t="s">
        <v>63</v>
      </c>
      <c r="C9" s="66">
        <v>0.76360117472572464</v>
      </c>
      <c r="D9" s="64" t="s">
        <v>168</v>
      </c>
      <c r="E9" s="62" t="s">
        <v>129</v>
      </c>
    </row>
    <row r="10" spans="1:29" ht="65" x14ac:dyDescent="0.25">
      <c r="A10" s="35" t="s">
        <v>71</v>
      </c>
      <c r="B10" s="65" t="s">
        <v>64</v>
      </c>
      <c r="C10" s="66">
        <v>0</v>
      </c>
      <c r="D10" s="64" t="s">
        <v>169</v>
      </c>
      <c r="E10" s="62" t="s">
        <v>130</v>
      </c>
    </row>
    <row r="11" spans="1:29" ht="39" x14ac:dyDescent="0.25">
      <c r="A11" s="35" t="s">
        <v>97</v>
      </c>
      <c r="B11" s="65" t="s">
        <v>65</v>
      </c>
      <c r="C11" s="66">
        <v>1.2886927092479366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1.5828431372549019</v>
      </c>
      <c r="D12" s="64" t="s">
        <v>171</v>
      </c>
      <c r="E12" s="62" t="s">
        <v>142</v>
      </c>
    </row>
  </sheetData>
  <conditionalFormatting sqref="B2">
    <cfRule type="expression" dxfId="44" priority="1" stopIfTrue="1">
      <formula>$AC2=1</formula>
    </cfRule>
    <cfRule type="expression" dxfId="43" priority="2" stopIfTrue="1">
      <formula>$AC2=2</formula>
    </cfRule>
    <cfRule type="expression" dxfId="42" priority="3" stopIfTrue="1">
      <formula>$AC2=10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14</v>
      </c>
      <c r="B2" s="28" t="s">
        <v>5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50" x14ac:dyDescent="0.25">
      <c r="A5" s="35" t="s">
        <v>68</v>
      </c>
      <c r="B5" s="65" t="s">
        <v>59</v>
      </c>
      <c r="C5" s="66">
        <v>3.0191199306537523E-2</v>
      </c>
      <c r="D5" s="63" t="s">
        <v>172</v>
      </c>
      <c r="E5" s="61" t="s">
        <v>101</v>
      </c>
      <c r="G5" s="40" t="s">
        <v>192</v>
      </c>
      <c r="H5" s="34" t="s">
        <v>193</v>
      </c>
    </row>
    <row r="6" spans="1:29" ht="39" x14ac:dyDescent="0.25">
      <c r="A6" s="35" t="s">
        <v>72</v>
      </c>
      <c r="B6" s="65" t="s">
        <v>60</v>
      </c>
      <c r="C6" s="66">
        <v>2.4428740658809543E-4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0.10890054592021763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0.91691880218146415</v>
      </c>
      <c r="D8" s="64" t="s">
        <v>159</v>
      </c>
      <c r="E8" s="62" t="s">
        <v>125</v>
      </c>
    </row>
    <row r="9" spans="1:29" ht="52" x14ac:dyDescent="0.25">
      <c r="A9" s="35" t="s">
        <v>70</v>
      </c>
      <c r="B9" s="65" t="s">
        <v>63</v>
      </c>
      <c r="C9" s="66">
        <v>8.7805415939629485E-4</v>
      </c>
      <c r="D9" s="64" t="s">
        <v>174</v>
      </c>
      <c r="E9" s="62" t="s">
        <v>127</v>
      </c>
    </row>
    <row r="10" spans="1:29" ht="65" x14ac:dyDescent="0.25">
      <c r="A10" s="35" t="s">
        <v>71</v>
      </c>
      <c r="B10" s="65" t="s">
        <v>64</v>
      </c>
      <c r="C10" s="66">
        <v>2.453380241167296E-2</v>
      </c>
      <c r="D10" s="64" t="s">
        <v>161</v>
      </c>
      <c r="E10" s="62" t="s">
        <v>132</v>
      </c>
    </row>
    <row r="11" spans="1:29" ht="39" x14ac:dyDescent="0.25">
      <c r="A11" s="35" t="s">
        <v>97</v>
      </c>
      <c r="B11" s="65" t="s">
        <v>65</v>
      </c>
      <c r="C11" s="66">
        <v>1.0251319865568411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1209416.3292999999</v>
      </c>
      <c r="D12" s="64" t="s">
        <v>175</v>
      </c>
      <c r="E12" s="62" t="s">
        <v>148</v>
      </c>
    </row>
  </sheetData>
  <conditionalFormatting sqref="B2">
    <cfRule type="expression" dxfId="41" priority="1" stopIfTrue="1">
      <formula>$AC2=1</formula>
    </cfRule>
    <cfRule type="expression" dxfId="40" priority="2" stopIfTrue="1">
      <formula>$AC2=2</formula>
    </cfRule>
    <cfRule type="expression" dxfId="39" priority="3" stopIfTrue="1">
      <formula>$AC2=10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15</v>
      </c>
      <c r="B2" s="28" t="s">
        <v>21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39" x14ac:dyDescent="0.25">
      <c r="A5" s="35" t="s">
        <v>68</v>
      </c>
      <c r="B5" s="65" t="s">
        <v>59</v>
      </c>
      <c r="C5" s="66">
        <v>9.0783311019007884E-2</v>
      </c>
      <c r="D5" s="63" t="s">
        <v>172</v>
      </c>
      <c r="E5" s="61" t="s">
        <v>101</v>
      </c>
      <c r="G5" s="40" t="s">
        <v>194</v>
      </c>
      <c r="H5" s="34" t="s">
        <v>195</v>
      </c>
    </row>
    <row r="6" spans="1:29" ht="39" x14ac:dyDescent="0.25">
      <c r="A6" s="35" t="s">
        <v>72</v>
      </c>
      <c r="B6" s="65" t="s">
        <v>60</v>
      </c>
      <c r="C6" s="66">
        <v>1.2957148436611909E-3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8.0708475728293331E-4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2.0585073534457126E-3</v>
      </c>
      <c r="D8" s="64" t="s">
        <v>179</v>
      </c>
      <c r="E8" s="62" t="s">
        <v>123</v>
      </c>
    </row>
    <row r="9" spans="1:29" ht="52" x14ac:dyDescent="0.25">
      <c r="A9" s="35" t="s">
        <v>70</v>
      </c>
      <c r="B9" s="65" t="s">
        <v>63</v>
      </c>
      <c r="C9" s="66">
        <v>1.2927321472753406E-2</v>
      </c>
      <c r="D9" s="64" t="s">
        <v>174</v>
      </c>
      <c r="E9" s="62" t="s">
        <v>127</v>
      </c>
    </row>
    <row r="10" spans="1:29" ht="65" x14ac:dyDescent="0.25">
      <c r="A10" s="35" t="s">
        <v>71</v>
      </c>
      <c r="B10" s="65" t="s">
        <v>64</v>
      </c>
      <c r="C10" s="66">
        <v>7.8460227325602807E-4</v>
      </c>
      <c r="D10" s="64" t="s">
        <v>161</v>
      </c>
      <c r="E10" s="62" t="s">
        <v>132</v>
      </c>
    </row>
    <row r="11" spans="1:29" ht="39" x14ac:dyDescent="0.25">
      <c r="A11" s="35" t="s">
        <v>97</v>
      </c>
      <c r="B11" s="65" t="s">
        <v>65</v>
      </c>
      <c r="C11" s="66">
        <v>0.99987703293103103</v>
      </c>
      <c r="D11" s="64" t="s">
        <v>180</v>
      </c>
      <c r="E11" s="62" t="s">
        <v>138</v>
      </c>
    </row>
    <row r="12" spans="1:29" ht="39" x14ac:dyDescent="0.25">
      <c r="A12" s="35" t="s">
        <v>69</v>
      </c>
      <c r="B12" s="65" t="s">
        <v>66</v>
      </c>
      <c r="C12" s="67">
        <v>18056.568454545453</v>
      </c>
      <c r="D12" s="64" t="s">
        <v>175</v>
      </c>
      <c r="E12" s="62" t="s">
        <v>148</v>
      </c>
    </row>
  </sheetData>
  <conditionalFormatting sqref="B2">
    <cfRule type="expression" dxfId="38" priority="1" stopIfTrue="1">
      <formula>$AC2=1</formula>
    </cfRule>
    <cfRule type="expression" dxfId="37" priority="2" stopIfTrue="1">
      <formula>$AC2=2</formula>
    </cfRule>
    <cfRule type="expression" dxfId="36" priority="3" stopIfTrue="1">
      <formula>$AC2=10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16</v>
      </c>
      <c r="B2" s="28" t="s">
        <v>22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50" x14ac:dyDescent="0.25">
      <c r="A5" s="35" t="s">
        <v>68</v>
      </c>
      <c r="B5" s="65" t="s">
        <v>59</v>
      </c>
      <c r="C5" s="66">
        <v>1.3684469050483026</v>
      </c>
      <c r="D5" s="63" t="s">
        <v>164</v>
      </c>
      <c r="E5" s="61" t="s">
        <v>103</v>
      </c>
      <c r="G5" s="40" t="s">
        <v>192</v>
      </c>
      <c r="H5" s="34" t="s">
        <v>193</v>
      </c>
    </row>
    <row r="6" spans="1:29" ht="39" x14ac:dyDescent="0.25">
      <c r="A6" s="35" t="s">
        <v>72</v>
      </c>
      <c r="B6" s="65" t="s">
        <v>60</v>
      </c>
      <c r="C6" s="66">
        <v>1.7719152403921183E-2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0.28238983025028047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0.98105017329167077</v>
      </c>
      <c r="D8" s="64" t="s">
        <v>159</v>
      </c>
      <c r="E8" s="62" t="s">
        <v>125</v>
      </c>
    </row>
    <row r="9" spans="1:29" ht="52" x14ac:dyDescent="0.25">
      <c r="A9" s="35" t="s">
        <v>70</v>
      </c>
      <c r="B9" s="65" t="s">
        <v>63</v>
      </c>
      <c r="C9" s="66">
        <v>0.28848181039668958</v>
      </c>
      <c r="D9" s="64" t="s">
        <v>174</v>
      </c>
      <c r="E9" s="62" t="s">
        <v>127</v>
      </c>
    </row>
    <row r="10" spans="1:29" ht="65" x14ac:dyDescent="0.25">
      <c r="A10" s="35" t="s">
        <v>71</v>
      </c>
      <c r="B10" s="65" t="s">
        <v>64</v>
      </c>
      <c r="C10" s="66">
        <v>3.7869873788272314E-2</v>
      </c>
      <c r="D10" s="64" t="s">
        <v>161</v>
      </c>
      <c r="E10" s="62" t="s">
        <v>132</v>
      </c>
    </row>
    <row r="11" spans="1:29" ht="39" x14ac:dyDescent="0.25">
      <c r="A11" s="35" t="s">
        <v>97</v>
      </c>
      <c r="B11" s="65" t="s">
        <v>65</v>
      </c>
      <c r="C11" s="66">
        <v>0.96786152589644914</v>
      </c>
      <c r="D11" s="64" t="s">
        <v>180</v>
      </c>
      <c r="E11" s="62" t="s">
        <v>138</v>
      </c>
    </row>
    <row r="12" spans="1:29" ht="39" x14ac:dyDescent="0.25">
      <c r="A12" s="35" t="s">
        <v>69</v>
      </c>
      <c r="B12" s="65" t="s">
        <v>66</v>
      </c>
      <c r="C12" s="67">
        <v>970.41895061728394</v>
      </c>
      <c r="D12" s="64" t="s">
        <v>177</v>
      </c>
      <c r="E12" s="62" t="s">
        <v>146</v>
      </c>
    </row>
  </sheetData>
  <conditionalFormatting sqref="B2">
    <cfRule type="expression" dxfId="35" priority="1" stopIfTrue="1">
      <formula>$AC2=1</formula>
    </cfRule>
    <cfRule type="expression" dxfId="34" priority="2" stopIfTrue="1">
      <formula>$AC2=2</formula>
    </cfRule>
    <cfRule type="expression" dxfId="33" priority="3" stopIfTrue="1">
      <formula>$AC2=10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17</v>
      </c>
      <c r="B2" s="28" t="s">
        <v>40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87.5" x14ac:dyDescent="0.25">
      <c r="A5" s="35" t="s">
        <v>68</v>
      </c>
      <c r="B5" s="65" t="s">
        <v>59</v>
      </c>
      <c r="C5" s="66">
        <v>108.6805196149467</v>
      </c>
      <c r="D5" s="63" t="s">
        <v>176</v>
      </c>
      <c r="E5" s="61" t="s">
        <v>107</v>
      </c>
      <c r="G5" s="40" t="s">
        <v>196</v>
      </c>
      <c r="H5" s="34" t="s">
        <v>197</v>
      </c>
    </row>
    <row r="6" spans="1:29" ht="39" x14ac:dyDescent="0.25">
      <c r="A6" s="35" t="s">
        <v>72</v>
      </c>
      <c r="B6" s="65" t="s">
        <v>60</v>
      </c>
      <c r="C6" s="66">
        <v>68.324344917080367</v>
      </c>
      <c r="D6" s="64" t="s">
        <v>181</v>
      </c>
      <c r="E6" s="62" t="s">
        <v>114</v>
      </c>
    </row>
    <row r="7" spans="1:29" ht="39" x14ac:dyDescent="0.25">
      <c r="A7" s="35" t="s">
        <v>73</v>
      </c>
      <c r="B7" s="65" t="s">
        <v>61</v>
      </c>
      <c r="C7" s="66">
        <v>0.98557505301786674</v>
      </c>
      <c r="D7" s="64" t="s">
        <v>182</v>
      </c>
      <c r="E7" s="62" t="s">
        <v>121</v>
      </c>
    </row>
    <row r="8" spans="1:29" ht="39" x14ac:dyDescent="0.25">
      <c r="A8" s="35" t="s">
        <v>67</v>
      </c>
      <c r="B8" s="65" t="s">
        <v>62</v>
      </c>
      <c r="C8" s="66">
        <v>1</v>
      </c>
      <c r="D8" s="64" t="s">
        <v>159</v>
      </c>
      <c r="E8" s="62" t="s">
        <v>125</v>
      </c>
    </row>
    <row r="9" spans="1:29" ht="52" x14ac:dyDescent="0.25">
      <c r="A9" s="35" t="s">
        <v>70</v>
      </c>
      <c r="B9" s="65" t="s">
        <v>63</v>
      </c>
      <c r="C9" s="66">
        <v>1.4492815139768951E-2</v>
      </c>
      <c r="D9" s="64" t="s">
        <v>174</v>
      </c>
      <c r="E9" s="62" t="s">
        <v>127</v>
      </c>
    </row>
    <row r="10" spans="1:29" ht="65" x14ac:dyDescent="0.25">
      <c r="A10" s="35" t="s">
        <v>71</v>
      </c>
      <c r="B10" s="65" t="s">
        <v>64</v>
      </c>
      <c r="C10" s="66">
        <v>0</v>
      </c>
      <c r="D10" s="64" t="s">
        <v>169</v>
      </c>
      <c r="E10" s="62" t="s">
        <v>130</v>
      </c>
    </row>
    <row r="11" spans="1:29" ht="39" x14ac:dyDescent="0.25">
      <c r="A11" s="35" t="s">
        <v>97</v>
      </c>
      <c r="B11" s="65" t="s">
        <v>65</v>
      </c>
      <c r="C11" s="66">
        <v>0.47417451609564232</v>
      </c>
      <c r="D11" s="64" t="s">
        <v>170</v>
      </c>
      <c r="E11" s="62" t="s">
        <v>137</v>
      </c>
    </row>
    <row r="12" spans="1:29" ht="39" x14ac:dyDescent="0.25">
      <c r="A12" s="35" t="s">
        <v>69</v>
      </c>
      <c r="B12" s="65" t="s">
        <v>66</v>
      </c>
      <c r="C12" s="67">
        <v>0.61080000000000001</v>
      </c>
      <c r="D12" s="64" t="s">
        <v>171</v>
      </c>
      <c r="E12" s="62" t="s">
        <v>142</v>
      </c>
    </row>
  </sheetData>
  <conditionalFormatting sqref="B2">
    <cfRule type="expression" dxfId="32" priority="1" stopIfTrue="1">
      <formula>$AC2=1</formula>
    </cfRule>
    <cfRule type="expression" dxfId="31" priority="2" stopIfTrue="1">
      <formula>$AC2=2</formula>
    </cfRule>
    <cfRule type="expression" dxfId="30" priority="3" stopIfTrue="1">
      <formula>$AC2=10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18</v>
      </c>
      <c r="B2" s="28" t="s">
        <v>6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50" x14ac:dyDescent="0.25">
      <c r="A5" s="35" t="s">
        <v>68</v>
      </c>
      <c r="B5" s="65" t="s">
        <v>59</v>
      </c>
      <c r="C5" s="66">
        <v>1.237729816625698</v>
      </c>
      <c r="D5" s="63" t="s">
        <v>164</v>
      </c>
      <c r="E5" s="61" t="s">
        <v>103</v>
      </c>
      <c r="G5" s="40" t="s">
        <v>190</v>
      </c>
      <c r="H5" s="34" t="s">
        <v>191</v>
      </c>
    </row>
    <row r="6" spans="1:29" ht="39" x14ac:dyDescent="0.25">
      <c r="A6" s="35" t="s">
        <v>72</v>
      </c>
      <c r="B6" s="65" t="s">
        <v>60</v>
      </c>
      <c r="C6" s="66">
        <v>0.40834759229522538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0.28539127872462472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0.42813317164652565</v>
      </c>
      <c r="D8" s="64" t="s">
        <v>183</v>
      </c>
      <c r="E8" s="62" t="s">
        <v>124</v>
      </c>
    </row>
    <row r="9" spans="1:29" ht="52" x14ac:dyDescent="0.25">
      <c r="A9" s="35" t="s">
        <v>70</v>
      </c>
      <c r="B9" s="65" t="s">
        <v>63</v>
      </c>
      <c r="C9" s="66">
        <v>0.40938267638581327</v>
      </c>
      <c r="D9" s="64" t="s">
        <v>160</v>
      </c>
      <c r="E9" s="62" t="s">
        <v>128</v>
      </c>
    </row>
    <row r="10" spans="1:29" ht="65" x14ac:dyDescent="0.25">
      <c r="A10" s="35" t="s">
        <v>71</v>
      </c>
      <c r="B10" s="65" t="s">
        <v>64</v>
      </c>
      <c r="C10" s="66">
        <v>3.0799991482824668E-2</v>
      </c>
      <c r="D10" s="64" t="s">
        <v>161</v>
      </c>
      <c r="E10" s="62" t="s">
        <v>132</v>
      </c>
    </row>
    <row r="11" spans="1:29" ht="39" x14ac:dyDescent="0.25">
      <c r="A11" s="35" t="s">
        <v>97</v>
      </c>
      <c r="B11" s="65" t="s">
        <v>65</v>
      </c>
      <c r="C11" s="66">
        <v>0.98583387066744321</v>
      </c>
      <c r="D11" s="64" t="s">
        <v>180</v>
      </c>
      <c r="E11" s="62" t="s">
        <v>138</v>
      </c>
    </row>
    <row r="12" spans="1:29" ht="39" x14ac:dyDescent="0.25">
      <c r="A12" s="35" t="s">
        <v>69</v>
      </c>
      <c r="B12" s="65" t="s">
        <v>66</v>
      </c>
      <c r="C12" s="67">
        <v>99.851735483870968</v>
      </c>
      <c r="D12" s="64" t="s">
        <v>163</v>
      </c>
      <c r="E12" s="62" t="s">
        <v>144</v>
      </c>
    </row>
  </sheetData>
  <conditionalFormatting sqref="B2">
    <cfRule type="expression" dxfId="29" priority="1" stopIfTrue="1">
      <formula>$AC2=1</formula>
    </cfRule>
    <cfRule type="expression" dxfId="28" priority="2" stopIfTrue="1">
      <formula>$AC2=2</formula>
    </cfRule>
    <cfRule type="expression" dxfId="27" priority="3" stopIfTrue="1">
      <formula>$AC2=10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19</v>
      </c>
      <c r="B2" s="28" t="s">
        <v>16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87.5" x14ac:dyDescent="0.25">
      <c r="A5" s="35" t="s">
        <v>68</v>
      </c>
      <c r="B5" s="65" t="s">
        <v>59</v>
      </c>
      <c r="C5" s="66">
        <v>6.6265304530641975</v>
      </c>
      <c r="D5" s="63" t="s">
        <v>164</v>
      </c>
      <c r="E5" s="61" t="s">
        <v>103</v>
      </c>
      <c r="G5" s="40" t="s">
        <v>188</v>
      </c>
      <c r="H5" s="34" t="s">
        <v>189</v>
      </c>
    </row>
    <row r="6" spans="1:29" ht="39" x14ac:dyDescent="0.25">
      <c r="A6" s="35" t="s">
        <v>72</v>
      </c>
      <c r="B6" s="65" t="s">
        <v>60</v>
      </c>
      <c r="C6" s="66">
        <v>0</v>
      </c>
      <c r="D6" s="64" t="s">
        <v>165</v>
      </c>
      <c r="E6" s="62" t="s">
        <v>108</v>
      </c>
    </row>
    <row r="7" spans="1:29" ht="39" x14ac:dyDescent="0.25">
      <c r="A7" s="35" t="s">
        <v>73</v>
      </c>
      <c r="B7" s="65" t="s">
        <v>61</v>
      </c>
      <c r="C7" s="66">
        <v>7.5150918187466206E-2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1</v>
      </c>
      <c r="D8" s="64" t="s">
        <v>159</v>
      </c>
      <c r="E8" s="62" t="s">
        <v>125</v>
      </c>
    </row>
    <row r="9" spans="1:29" ht="52" x14ac:dyDescent="0.25">
      <c r="A9" s="35" t="s">
        <v>70</v>
      </c>
      <c r="B9" s="65" t="s">
        <v>63</v>
      </c>
      <c r="C9" s="66">
        <v>0.54190377877974738</v>
      </c>
      <c r="D9" s="64" t="s">
        <v>160</v>
      </c>
      <c r="E9" s="62" t="s">
        <v>128</v>
      </c>
    </row>
    <row r="10" spans="1:29" ht="65" x14ac:dyDescent="0.25">
      <c r="A10" s="35" t="s">
        <v>71</v>
      </c>
      <c r="B10" s="65" t="s">
        <v>64</v>
      </c>
      <c r="C10" s="66">
        <v>0.24773568653824654</v>
      </c>
      <c r="D10" s="64" t="s">
        <v>184</v>
      </c>
      <c r="E10" s="62" t="s">
        <v>134</v>
      </c>
    </row>
    <row r="11" spans="1:29" ht="39" x14ac:dyDescent="0.25">
      <c r="A11" s="35" t="s">
        <v>97</v>
      </c>
      <c r="B11" s="65" t="s">
        <v>65</v>
      </c>
      <c r="C11" s="66">
        <v>2.0657815143929974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4723.9382727272732</v>
      </c>
      <c r="D12" s="64" t="s">
        <v>175</v>
      </c>
      <c r="E12" s="62" t="s">
        <v>148</v>
      </c>
    </row>
  </sheetData>
  <conditionalFormatting sqref="B2">
    <cfRule type="expression" dxfId="26" priority="1" stopIfTrue="1">
      <formula>$AC2=1</formula>
    </cfRule>
    <cfRule type="expression" dxfId="25" priority="2" stopIfTrue="1">
      <formula>$AC2=2</formula>
    </cfRule>
    <cfRule type="expression" dxfId="24" priority="3" stopIfTrue="1">
      <formula>$AC2=10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20</v>
      </c>
      <c r="B2" s="28" t="s">
        <v>28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87.5" x14ac:dyDescent="0.25">
      <c r="A5" s="35" t="s">
        <v>68</v>
      </c>
      <c r="B5" s="65" t="s">
        <v>59</v>
      </c>
      <c r="C5" s="66">
        <v>1.0722156038861339</v>
      </c>
      <c r="D5" s="63" t="s">
        <v>164</v>
      </c>
      <c r="E5" s="61" t="s">
        <v>103</v>
      </c>
      <c r="G5" s="40" t="s">
        <v>196</v>
      </c>
      <c r="H5" s="34" t="s">
        <v>197</v>
      </c>
    </row>
    <row r="6" spans="1:29" ht="39" x14ac:dyDescent="0.25">
      <c r="A6" s="35" t="s">
        <v>72</v>
      </c>
      <c r="B6" s="65" t="s">
        <v>60</v>
      </c>
      <c r="C6" s="66">
        <v>13.838145605580189</v>
      </c>
      <c r="D6" s="64" t="s">
        <v>185</v>
      </c>
      <c r="E6" s="62" t="s">
        <v>112</v>
      </c>
    </row>
    <row r="7" spans="1:29" ht="39" x14ac:dyDescent="0.25">
      <c r="A7" s="35" t="s">
        <v>73</v>
      </c>
      <c r="B7" s="65" t="s">
        <v>61</v>
      </c>
      <c r="C7" s="66">
        <v>0.67965662743993438</v>
      </c>
      <c r="D7" s="64" t="s">
        <v>182</v>
      </c>
      <c r="E7" s="62" t="s">
        <v>121</v>
      </c>
    </row>
    <row r="8" spans="1:29" ht="39" x14ac:dyDescent="0.25">
      <c r="A8" s="35" t="s">
        <v>67</v>
      </c>
      <c r="B8" s="65" t="s">
        <v>62</v>
      </c>
      <c r="C8" s="66">
        <v>0.44704649384559852</v>
      </c>
      <c r="D8" s="64" t="s">
        <v>183</v>
      </c>
      <c r="E8" s="62" t="s">
        <v>124</v>
      </c>
    </row>
    <row r="9" spans="1:29" ht="52" x14ac:dyDescent="0.25">
      <c r="A9" s="35" t="s">
        <v>70</v>
      </c>
      <c r="B9" s="65" t="s">
        <v>63</v>
      </c>
      <c r="C9" s="66">
        <v>0.2476374517733434</v>
      </c>
      <c r="D9" s="64" t="s">
        <v>174</v>
      </c>
      <c r="E9" s="62" t="s">
        <v>127</v>
      </c>
    </row>
    <row r="10" spans="1:29" ht="65" x14ac:dyDescent="0.25">
      <c r="A10" s="35" t="s">
        <v>71</v>
      </c>
      <c r="B10" s="65" t="s">
        <v>64</v>
      </c>
      <c r="C10" s="66">
        <v>0</v>
      </c>
      <c r="D10" s="64" t="s">
        <v>169</v>
      </c>
      <c r="E10" s="62" t="s">
        <v>130</v>
      </c>
    </row>
    <row r="11" spans="1:29" ht="39" x14ac:dyDescent="0.25">
      <c r="A11" s="35" t="s">
        <v>97</v>
      </c>
      <c r="B11" s="65" t="s">
        <v>65</v>
      </c>
      <c r="C11" s="66">
        <v>1.6465966222115183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17.016222222222222</v>
      </c>
      <c r="D12" s="64" t="s">
        <v>163</v>
      </c>
      <c r="E12" s="62" t="s">
        <v>144</v>
      </c>
    </row>
  </sheetData>
  <conditionalFormatting sqref="B2">
    <cfRule type="expression" dxfId="23" priority="1" stopIfTrue="1">
      <formula>$AC2=1</formula>
    </cfRule>
    <cfRule type="expression" dxfId="22" priority="2" stopIfTrue="1">
      <formula>$AC2=2</formula>
    </cfRule>
    <cfRule type="expression" dxfId="21" priority="3" stopIfTrue="1">
      <formula>$AC2=10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21</v>
      </c>
      <c r="B2" s="28" t="s">
        <v>44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50" x14ac:dyDescent="0.25">
      <c r="A5" s="35" t="s">
        <v>68</v>
      </c>
      <c r="B5" s="65" t="s">
        <v>59</v>
      </c>
      <c r="C5" s="66">
        <v>9.4102732240437153E-4</v>
      </c>
      <c r="D5" s="63" t="s">
        <v>172</v>
      </c>
      <c r="E5" s="61" t="s">
        <v>101</v>
      </c>
      <c r="G5" s="40" t="s">
        <v>192</v>
      </c>
      <c r="H5" s="34" t="s">
        <v>193</v>
      </c>
    </row>
    <row r="6" spans="1:29" ht="39" x14ac:dyDescent="0.25">
      <c r="A6" s="35" t="s">
        <v>72</v>
      </c>
      <c r="B6" s="65" t="s">
        <v>60</v>
      </c>
      <c r="C6" s="66">
        <v>0</v>
      </c>
      <c r="D6" s="64" t="s">
        <v>165</v>
      </c>
      <c r="E6" s="62" t="s">
        <v>108</v>
      </c>
    </row>
    <row r="7" spans="1:29" ht="39" x14ac:dyDescent="0.25">
      <c r="A7" s="35" t="s">
        <v>73</v>
      </c>
      <c r="B7" s="65" t="s">
        <v>61</v>
      </c>
      <c r="C7" s="66">
        <v>6.3876242683266748E-2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1</v>
      </c>
      <c r="D8" s="64" t="s">
        <v>159</v>
      </c>
      <c r="E8" s="62" t="s">
        <v>125</v>
      </c>
    </row>
    <row r="9" spans="1:29" ht="52" x14ac:dyDescent="0.25">
      <c r="A9" s="35" t="s">
        <v>70</v>
      </c>
      <c r="B9" s="65" t="s">
        <v>63</v>
      </c>
      <c r="C9" s="66">
        <v>8.8008984419732492E-4</v>
      </c>
      <c r="D9" s="64" t="s">
        <v>174</v>
      </c>
      <c r="E9" s="62" t="s">
        <v>127</v>
      </c>
    </row>
    <row r="10" spans="1:29" ht="65" x14ac:dyDescent="0.25">
      <c r="A10" s="35" t="s">
        <v>71</v>
      </c>
      <c r="B10" s="65" t="s">
        <v>64</v>
      </c>
      <c r="C10" s="66">
        <v>0</v>
      </c>
      <c r="D10" s="64" t="s">
        <v>169</v>
      </c>
      <c r="E10" s="62" t="s">
        <v>130</v>
      </c>
    </row>
    <row r="11" spans="1:29" ht="39" x14ac:dyDescent="0.25">
      <c r="A11" s="35" t="s">
        <v>97</v>
      </c>
      <c r="B11" s="65" t="s">
        <v>65</v>
      </c>
      <c r="C11" s="66">
        <v>1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45750</v>
      </c>
      <c r="D12" s="64" t="s">
        <v>175</v>
      </c>
      <c r="E12" s="62" t="s">
        <v>148</v>
      </c>
    </row>
  </sheetData>
  <conditionalFormatting sqref="B2">
    <cfRule type="expression" dxfId="20" priority="1" stopIfTrue="1">
      <formula>$AC2=1</formula>
    </cfRule>
    <cfRule type="expression" dxfId="19" priority="2" stopIfTrue="1">
      <formula>$AC2=2</formula>
    </cfRule>
    <cfRule type="expression" dxfId="18" priority="3" stopIfTrue="1">
      <formula>$AC2=10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22</v>
      </c>
      <c r="B2" s="28" t="s">
        <v>29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39" x14ac:dyDescent="0.25">
      <c r="A5" s="35" t="s">
        <v>68</v>
      </c>
      <c r="B5" s="65" t="s">
        <v>59</v>
      </c>
      <c r="C5" s="66">
        <v>5.4894126173411426E-2</v>
      </c>
      <c r="D5" s="63" t="s">
        <v>172</v>
      </c>
      <c r="E5" s="61" t="s">
        <v>101</v>
      </c>
      <c r="G5" s="40" t="s">
        <v>194</v>
      </c>
      <c r="H5" s="34" t="s">
        <v>195</v>
      </c>
    </row>
    <row r="6" spans="1:29" ht="39" x14ac:dyDescent="0.25">
      <c r="A6" s="35" t="s">
        <v>72</v>
      </c>
      <c r="B6" s="65" t="s">
        <v>60</v>
      </c>
      <c r="C6" s="66">
        <v>4.3698868632353989E-3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0.43484594471783528</v>
      </c>
      <c r="D7" s="64" t="s">
        <v>158</v>
      </c>
      <c r="E7" s="62" t="s">
        <v>119</v>
      </c>
    </row>
    <row r="8" spans="1:29" ht="39" x14ac:dyDescent="0.25">
      <c r="A8" s="35" t="s">
        <v>67</v>
      </c>
      <c r="B8" s="65" t="s">
        <v>62</v>
      </c>
      <c r="C8" s="66">
        <v>8.8659471053431239E-3</v>
      </c>
      <c r="D8" s="64" t="s">
        <v>179</v>
      </c>
      <c r="E8" s="62" t="s">
        <v>123</v>
      </c>
    </row>
    <row r="9" spans="1:29" ht="52" x14ac:dyDescent="0.25">
      <c r="A9" s="35" t="s">
        <v>70</v>
      </c>
      <c r="B9" s="65" t="s">
        <v>63</v>
      </c>
      <c r="C9" s="66">
        <v>1.7312441830115155E-3</v>
      </c>
      <c r="D9" s="64" t="s">
        <v>174</v>
      </c>
      <c r="E9" s="62" t="s">
        <v>127</v>
      </c>
    </row>
    <row r="10" spans="1:29" ht="65" x14ac:dyDescent="0.25">
      <c r="A10" s="35" t="s">
        <v>71</v>
      </c>
      <c r="B10" s="65" t="s">
        <v>64</v>
      </c>
      <c r="C10" s="66">
        <v>3.0523262602587253E-2</v>
      </c>
      <c r="D10" s="64" t="s">
        <v>161</v>
      </c>
      <c r="E10" s="62" t="s">
        <v>132</v>
      </c>
    </row>
    <row r="11" spans="1:29" ht="39" x14ac:dyDescent="0.25">
      <c r="A11" s="35" t="s">
        <v>97</v>
      </c>
      <c r="B11" s="65" t="s">
        <v>65</v>
      </c>
      <c r="C11" s="66">
        <v>1.0286798204102856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19475564.663824998</v>
      </c>
      <c r="D12" s="64" t="s">
        <v>175</v>
      </c>
      <c r="E12" s="62" t="s">
        <v>148</v>
      </c>
    </row>
  </sheetData>
  <conditionalFormatting sqref="B2">
    <cfRule type="expression" dxfId="17" priority="1" stopIfTrue="1">
      <formula>$AC2=1</formula>
    </cfRule>
    <cfRule type="expression" dxfId="16" priority="2" stopIfTrue="1">
      <formula>$AC2=2</formula>
    </cfRule>
    <cfRule type="expression" dxfId="15" priority="3" stopIfTrue="1">
      <formula>$AC2=10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23</v>
      </c>
      <c r="B2" s="28" t="s">
        <v>23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39" x14ac:dyDescent="0.25">
      <c r="A5" s="35" t="s">
        <v>68</v>
      </c>
      <c r="B5" s="65" t="s">
        <v>59</v>
      </c>
      <c r="C5" s="66">
        <v>25.947044249472839</v>
      </c>
      <c r="D5" s="63" t="s">
        <v>164</v>
      </c>
      <c r="E5" s="61" t="s">
        <v>103</v>
      </c>
      <c r="G5" s="40" t="s">
        <v>194</v>
      </c>
      <c r="H5" s="34" t="s">
        <v>195</v>
      </c>
    </row>
    <row r="6" spans="1:29" ht="39" x14ac:dyDescent="0.25">
      <c r="A6" s="35" t="s">
        <v>72</v>
      </c>
      <c r="B6" s="65" t="s">
        <v>60</v>
      </c>
      <c r="C6" s="66">
        <v>5.1756834921995497E-4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0</v>
      </c>
      <c r="D7" s="64" t="s">
        <v>166</v>
      </c>
      <c r="E7" s="62" t="s">
        <v>115</v>
      </c>
    </row>
    <row r="8" spans="1:29" ht="39" x14ac:dyDescent="0.25">
      <c r="A8" s="35" t="s">
        <v>67</v>
      </c>
      <c r="B8" s="65" t="s">
        <v>62</v>
      </c>
      <c r="C8" s="66">
        <v>0</v>
      </c>
      <c r="D8" s="64" t="s">
        <v>167</v>
      </c>
      <c r="E8" s="62" t="s">
        <v>122</v>
      </c>
    </row>
    <row r="9" spans="1:29" ht="52" x14ac:dyDescent="0.25">
      <c r="A9" s="35" t="s">
        <v>70</v>
      </c>
      <c r="B9" s="65" t="s">
        <v>63</v>
      </c>
      <c r="C9" s="66">
        <v>0.25300753342932131</v>
      </c>
      <c r="D9" s="64" t="s">
        <v>174</v>
      </c>
      <c r="E9" s="62" t="s">
        <v>127</v>
      </c>
    </row>
    <row r="10" spans="1:29" ht="65" x14ac:dyDescent="0.25">
      <c r="A10" s="35" t="s">
        <v>71</v>
      </c>
      <c r="B10" s="65" t="s">
        <v>64</v>
      </c>
      <c r="C10" s="66">
        <v>0.69463760128087948</v>
      </c>
      <c r="D10" s="64" t="s">
        <v>186</v>
      </c>
      <c r="E10" s="62" t="s">
        <v>136</v>
      </c>
    </row>
    <row r="11" spans="1:29" ht="39" x14ac:dyDescent="0.25">
      <c r="A11" s="35" t="s">
        <v>97</v>
      </c>
      <c r="B11" s="65" t="s">
        <v>65</v>
      </c>
      <c r="C11" s="66">
        <v>1.4115119644369682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355.78500000000003</v>
      </c>
      <c r="D12" s="64" t="s">
        <v>177</v>
      </c>
      <c r="E12" s="62" t="s">
        <v>146</v>
      </c>
    </row>
  </sheetData>
  <conditionalFormatting sqref="B2">
    <cfRule type="expression" dxfId="14" priority="1" stopIfTrue="1">
      <formula>$AC2=1</formula>
    </cfRule>
    <cfRule type="expression" dxfId="13" priority="2" stopIfTrue="1">
      <formula>$AC2=2</formula>
    </cfRule>
    <cfRule type="expression" dxfId="12" priority="3" stopIfTrue="1">
      <formula>$AC2=10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24</v>
      </c>
      <c r="B2" s="28" t="s">
        <v>3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50" x14ac:dyDescent="0.25">
      <c r="A5" s="35" t="s">
        <v>68</v>
      </c>
      <c r="B5" s="65" t="s">
        <v>59</v>
      </c>
      <c r="C5" s="66">
        <v>12.099508951181381</v>
      </c>
      <c r="D5" s="63" t="s">
        <v>164</v>
      </c>
      <c r="E5" s="61" t="s">
        <v>103</v>
      </c>
      <c r="G5" s="40" t="s">
        <v>190</v>
      </c>
      <c r="H5" s="34" t="s">
        <v>191</v>
      </c>
    </row>
    <row r="6" spans="1:29" ht="39" x14ac:dyDescent="0.25">
      <c r="A6" s="35" t="s">
        <v>72</v>
      </c>
      <c r="B6" s="65" t="s">
        <v>60</v>
      </c>
      <c r="C6" s="66">
        <v>3.8056326493471043E-2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0</v>
      </c>
      <c r="D7" s="64" t="s">
        <v>166</v>
      </c>
      <c r="E7" s="62" t="s">
        <v>115</v>
      </c>
    </row>
    <row r="8" spans="1:29" ht="39" x14ac:dyDescent="0.25">
      <c r="A8" s="35" t="s">
        <v>67</v>
      </c>
      <c r="B8" s="65" t="s">
        <v>62</v>
      </c>
      <c r="C8" s="66">
        <v>0</v>
      </c>
      <c r="D8" s="64" t="s">
        <v>167</v>
      </c>
      <c r="E8" s="62" t="s">
        <v>122</v>
      </c>
    </row>
    <row r="9" spans="1:29" ht="52" x14ac:dyDescent="0.25">
      <c r="A9" s="35" t="s">
        <v>70</v>
      </c>
      <c r="B9" s="65" t="s">
        <v>63</v>
      </c>
      <c r="C9" s="66">
        <v>0.96853356371153576</v>
      </c>
      <c r="D9" s="64" t="s">
        <v>168</v>
      </c>
      <c r="E9" s="62" t="s">
        <v>129</v>
      </c>
    </row>
    <row r="10" spans="1:29" ht="65" x14ac:dyDescent="0.25">
      <c r="A10" s="35" t="s">
        <v>71</v>
      </c>
      <c r="B10" s="65" t="s">
        <v>64</v>
      </c>
      <c r="C10" s="66">
        <v>0</v>
      </c>
      <c r="D10" s="64" t="s">
        <v>169</v>
      </c>
      <c r="E10" s="62" t="s">
        <v>130</v>
      </c>
    </row>
    <row r="11" spans="1:29" ht="39" x14ac:dyDescent="0.25">
      <c r="A11" s="35" t="s">
        <v>97</v>
      </c>
      <c r="B11" s="65" t="s">
        <v>65</v>
      </c>
      <c r="C11" s="66">
        <v>0.42668398916609784</v>
      </c>
      <c r="D11" s="64" t="s">
        <v>170</v>
      </c>
      <c r="E11" s="62" t="s">
        <v>137</v>
      </c>
    </row>
    <row r="12" spans="1:29" ht="39" x14ac:dyDescent="0.25">
      <c r="A12" s="35" t="s">
        <v>69</v>
      </c>
      <c r="B12" s="65" t="s">
        <v>66</v>
      </c>
      <c r="C12" s="67">
        <v>4.8442499999999997</v>
      </c>
      <c r="D12" s="64" t="s">
        <v>171</v>
      </c>
      <c r="E12" s="62" t="s">
        <v>142</v>
      </c>
    </row>
  </sheetData>
  <conditionalFormatting sqref="B2">
    <cfRule type="expression" dxfId="11" priority="1" stopIfTrue="1">
      <formula>$AC2=1</formula>
    </cfRule>
    <cfRule type="expression" dxfId="10" priority="2" stopIfTrue="1">
      <formula>$AC2=2</formula>
    </cfRule>
    <cfRule type="expression" dxfId="9" priority="3" stopIfTrue="1">
      <formula>$AC2=10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25</v>
      </c>
      <c r="B2" s="28" t="s">
        <v>9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87.5" x14ac:dyDescent="0.25">
      <c r="A5" s="35" t="s">
        <v>68</v>
      </c>
      <c r="B5" s="65" t="s">
        <v>59</v>
      </c>
      <c r="C5" s="66">
        <v>5.0510560452353239</v>
      </c>
      <c r="D5" s="63" t="s">
        <v>164</v>
      </c>
      <c r="E5" s="61" t="s">
        <v>103</v>
      </c>
      <c r="G5" s="40" t="s">
        <v>196</v>
      </c>
      <c r="H5" s="34" t="s">
        <v>197</v>
      </c>
    </row>
    <row r="6" spans="1:29" ht="39" x14ac:dyDescent="0.25">
      <c r="A6" s="35" t="s">
        <v>72</v>
      </c>
      <c r="B6" s="65" t="s">
        <v>60</v>
      </c>
      <c r="C6" s="66">
        <v>38.035591992624788</v>
      </c>
      <c r="D6" s="64" t="s">
        <v>185</v>
      </c>
      <c r="E6" s="62" t="s">
        <v>112</v>
      </c>
    </row>
    <row r="7" spans="1:29" ht="39" x14ac:dyDescent="0.25">
      <c r="A7" s="35" t="s">
        <v>73</v>
      </c>
      <c r="B7" s="65" t="s">
        <v>61</v>
      </c>
      <c r="C7" s="66">
        <v>0.96039605630619029</v>
      </c>
      <c r="D7" s="64" t="s">
        <v>182</v>
      </c>
      <c r="E7" s="62" t="s">
        <v>121</v>
      </c>
    </row>
    <row r="8" spans="1:29" ht="39" x14ac:dyDescent="0.25">
      <c r="A8" s="35" t="s">
        <v>67</v>
      </c>
      <c r="B8" s="65" t="s">
        <v>62</v>
      </c>
      <c r="C8" s="66">
        <v>0</v>
      </c>
      <c r="D8" s="64" t="s">
        <v>167</v>
      </c>
      <c r="E8" s="62" t="s">
        <v>122</v>
      </c>
    </row>
    <row r="9" spans="1:29" ht="52" x14ac:dyDescent="0.25">
      <c r="A9" s="35" t="s">
        <v>70</v>
      </c>
      <c r="B9" s="65" t="s">
        <v>63</v>
      </c>
      <c r="C9" s="66">
        <v>4.4160718092114644E-2</v>
      </c>
      <c r="D9" s="64" t="s">
        <v>174</v>
      </c>
      <c r="E9" s="62" t="s">
        <v>127</v>
      </c>
    </row>
    <row r="10" spans="1:29" ht="65" x14ac:dyDescent="0.25">
      <c r="A10" s="35" t="s">
        <v>71</v>
      </c>
      <c r="B10" s="65" t="s">
        <v>64</v>
      </c>
      <c r="C10" s="66">
        <v>0</v>
      </c>
      <c r="D10" s="64" t="s">
        <v>169</v>
      </c>
      <c r="E10" s="62" t="s">
        <v>130</v>
      </c>
    </row>
    <row r="11" spans="1:29" ht="39" x14ac:dyDescent="0.25">
      <c r="A11" s="35" t="s">
        <v>97</v>
      </c>
      <c r="B11" s="65" t="s">
        <v>65</v>
      </c>
      <c r="C11" s="66">
        <v>5.7375686013637114E-2</v>
      </c>
      <c r="D11" s="64" t="s">
        <v>170</v>
      </c>
      <c r="E11" s="62" t="s">
        <v>137</v>
      </c>
    </row>
    <row r="12" spans="1:29" ht="39" x14ac:dyDescent="0.25">
      <c r="A12" s="35" t="s">
        <v>69</v>
      </c>
      <c r="B12" s="65" t="s">
        <v>66</v>
      </c>
      <c r="C12" s="67">
        <v>0.22999999999999998</v>
      </c>
      <c r="D12" s="64" t="s">
        <v>171</v>
      </c>
      <c r="E12" s="62" t="s">
        <v>142</v>
      </c>
    </row>
  </sheetData>
  <conditionalFormatting sqref="B2">
    <cfRule type="expression" dxfId="8" priority="1" stopIfTrue="1">
      <formula>$AC2=1</formula>
    </cfRule>
    <cfRule type="expression" dxfId="7" priority="2" stopIfTrue="1">
      <formula>$AC2=2</formula>
    </cfRule>
    <cfRule type="expression" dxfId="6" priority="3" stopIfTrue="1">
      <formula>$AC2=10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26</v>
      </c>
      <c r="B2" s="28" t="s">
        <v>35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50" x14ac:dyDescent="0.25">
      <c r="A5" s="35" t="s">
        <v>68</v>
      </c>
      <c r="B5" s="65" t="s">
        <v>59</v>
      </c>
      <c r="C5" s="66">
        <v>2885.2295345104335</v>
      </c>
      <c r="D5" s="63" t="s">
        <v>176</v>
      </c>
      <c r="E5" s="61" t="s">
        <v>107</v>
      </c>
      <c r="G5" s="40" t="s">
        <v>190</v>
      </c>
      <c r="H5" s="34" t="s">
        <v>191</v>
      </c>
    </row>
    <row r="6" spans="1:29" ht="39" x14ac:dyDescent="0.25">
      <c r="A6" s="35" t="s">
        <v>72</v>
      </c>
      <c r="B6" s="65" t="s">
        <v>60</v>
      </c>
      <c r="C6" s="66">
        <v>0.67240241713759907</v>
      </c>
      <c r="D6" s="64" t="s">
        <v>157</v>
      </c>
      <c r="E6" s="62" t="s">
        <v>110</v>
      </c>
    </row>
    <row r="7" spans="1:29" ht="39" x14ac:dyDescent="0.25">
      <c r="A7" s="35" t="s">
        <v>73</v>
      </c>
      <c r="B7" s="65" t="s">
        <v>61</v>
      </c>
      <c r="C7" s="66">
        <v>0.42003499504347763</v>
      </c>
      <c r="D7" s="64" t="s">
        <v>158</v>
      </c>
      <c r="E7" s="62" t="s">
        <v>119</v>
      </c>
    </row>
    <row r="8" spans="1:29" ht="39" x14ac:dyDescent="0.25">
      <c r="A8" s="35" t="s">
        <v>67</v>
      </c>
      <c r="B8" s="65" t="s">
        <v>62</v>
      </c>
      <c r="C8" s="66">
        <v>2.3758913552401077E-6</v>
      </c>
      <c r="D8" s="64" t="s">
        <v>179</v>
      </c>
      <c r="E8" s="62" t="s">
        <v>123</v>
      </c>
    </row>
    <row r="9" spans="1:29" ht="52" x14ac:dyDescent="0.25">
      <c r="A9" s="35" t="s">
        <v>70</v>
      </c>
      <c r="B9" s="65" t="s">
        <v>63</v>
      </c>
      <c r="C9" s="66">
        <v>0.50346136359932592</v>
      </c>
      <c r="D9" s="64" t="s">
        <v>160</v>
      </c>
      <c r="E9" s="62" t="s">
        <v>128</v>
      </c>
    </row>
    <row r="10" spans="1:29" ht="65" x14ac:dyDescent="0.25">
      <c r="A10" s="35" t="s">
        <v>71</v>
      </c>
      <c r="B10" s="65" t="s">
        <v>64</v>
      </c>
      <c r="C10" s="66">
        <v>7.4829309792624157E-2</v>
      </c>
      <c r="D10" s="64" t="s">
        <v>161</v>
      </c>
      <c r="E10" s="62" t="s">
        <v>132</v>
      </c>
    </row>
    <row r="11" spans="1:29" ht="39" x14ac:dyDescent="0.25">
      <c r="A11" s="35" t="s">
        <v>97</v>
      </c>
      <c r="B11" s="65" t="s">
        <v>65</v>
      </c>
      <c r="C11" s="66">
        <v>8.5008025682182993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0.33100000000000002</v>
      </c>
      <c r="D12" s="64" t="s">
        <v>171</v>
      </c>
      <c r="E12" s="62" t="s">
        <v>142</v>
      </c>
    </row>
  </sheetData>
  <conditionalFormatting sqref="B2">
    <cfRule type="expression" dxfId="5" priority="1" stopIfTrue="1">
      <formula>$AC2=1</formula>
    </cfRule>
    <cfRule type="expression" dxfId="4" priority="2" stopIfTrue="1">
      <formula>$AC2=2</formula>
    </cfRule>
    <cfRule type="expression" dxfId="3" priority="3" stopIfTrue="1">
      <formula>$AC2=10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AC12"/>
  <sheetViews>
    <sheetView workbookViewId="0">
      <selection activeCell="A2" sqref="A2"/>
    </sheetView>
  </sheetViews>
  <sheetFormatPr defaultColWidth="9.1796875" defaultRowHeight="13" x14ac:dyDescent="0.25"/>
  <cols>
    <col min="1" max="1" width="59" style="29" customWidth="1"/>
    <col min="2" max="2" width="4.6328125" style="29" customWidth="1"/>
    <col min="3" max="3" width="15.81640625" style="36" customWidth="1"/>
    <col min="4" max="4" width="8.6328125" style="36" customWidth="1"/>
    <col min="5" max="5" width="36.1796875" style="36" customWidth="1"/>
    <col min="6" max="6" width="2" style="36" customWidth="1"/>
    <col min="7" max="7" width="36.453125" style="36" customWidth="1"/>
    <col min="8" max="8" width="7.453125" style="36" customWidth="1"/>
    <col min="9" max="9" width="23.26953125" style="36" customWidth="1"/>
    <col min="10" max="20" width="9.1796875" style="36"/>
    <col min="21" max="21" width="9.1796875" style="37"/>
    <col min="22" max="28" width="9.1796875" style="38"/>
    <col min="29" max="29" width="9.1796875" style="39"/>
    <col min="30" max="16384" width="9.1796875" style="38"/>
  </cols>
  <sheetData>
    <row r="1" spans="1:29" x14ac:dyDescent="0.3">
      <c r="A1" s="45" t="s">
        <v>150</v>
      </c>
    </row>
    <row r="2" spans="1:29" s="32" customFormat="1" ht="22.5" customHeight="1" x14ac:dyDescent="0.3">
      <c r="A2" s="41">
        <v>27</v>
      </c>
      <c r="B2" s="28" t="s">
        <v>10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AC2" s="33"/>
    </row>
    <row r="4" spans="1:29" ht="26" x14ac:dyDescent="0.3">
      <c r="A4" s="34" t="s">
        <v>92</v>
      </c>
      <c r="B4" s="34" t="s">
        <v>93</v>
      </c>
      <c r="C4" s="42" t="s">
        <v>90</v>
      </c>
      <c r="D4" s="42" t="s">
        <v>91</v>
      </c>
      <c r="E4" s="23" t="s">
        <v>99</v>
      </c>
      <c r="G4" s="34" t="s">
        <v>151</v>
      </c>
      <c r="H4" s="34" t="s">
        <v>152</v>
      </c>
    </row>
    <row r="5" spans="1:29" ht="87.5" x14ac:dyDescent="0.25">
      <c r="A5" s="35" t="s">
        <v>68</v>
      </c>
      <c r="B5" s="65" t="s">
        <v>59</v>
      </c>
      <c r="C5" s="66">
        <v>65.950338101738254</v>
      </c>
      <c r="D5" s="63" t="s">
        <v>156</v>
      </c>
      <c r="E5" s="61" t="s">
        <v>105</v>
      </c>
      <c r="G5" s="40" t="s">
        <v>188</v>
      </c>
      <c r="H5" s="34" t="s">
        <v>189</v>
      </c>
    </row>
    <row r="6" spans="1:29" ht="39" x14ac:dyDescent="0.25">
      <c r="A6" s="35" t="s">
        <v>72</v>
      </c>
      <c r="B6" s="65" t="s">
        <v>60</v>
      </c>
      <c r="C6" s="66">
        <v>0</v>
      </c>
      <c r="D6" s="64" t="s">
        <v>165</v>
      </c>
      <c r="E6" s="62" t="s">
        <v>108</v>
      </c>
    </row>
    <row r="7" spans="1:29" ht="39" x14ac:dyDescent="0.25">
      <c r="A7" s="35" t="s">
        <v>73</v>
      </c>
      <c r="B7" s="65" t="s">
        <v>61</v>
      </c>
      <c r="C7" s="66">
        <v>5.2061603560895051E-2</v>
      </c>
      <c r="D7" s="64" t="s">
        <v>173</v>
      </c>
      <c r="E7" s="62" t="s">
        <v>117</v>
      </c>
    </row>
    <row r="8" spans="1:29" ht="39" x14ac:dyDescent="0.25">
      <c r="A8" s="35" t="s">
        <v>67</v>
      </c>
      <c r="B8" s="65" t="s">
        <v>62</v>
      </c>
      <c r="C8" s="66">
        <v>1</v>
      </c>
      <c r="D8" s="64" t="s">
        <v>159</v>
      </c>
      <c r="E8" s="62" t="s">
        <v>125</v>
      </c>
    </row>
    <row r="9" spans="1:29" ht="52" x14ac:dyDescent="0.25">
      <c r="A9" s="35" t="s">
        <v>70</v>
      </c>
      <c r="B9" s="65" t="s">
        <v>63</v>
      </c>
      <c r="C9" s="66">
        <v>0.90215419173761957</v>
      </c>
      <c r="D9" s="64" t="s">
        <v>168</v>
      </c>
      <c r="E9" s="62" t="s">
        <v>129</v>
      </c>
    </row>
    <row r="10" spans="1:29" ht="65" x14ac:dyDescent="0.25">
      <c r="A10" s="35" t="s">
        <v>71</v>
      </c>
      <c r="B10" s="65" t="s">
        <v>64</v>
      </c>
      <c r="C10" s="66">
        <v>1.2974531192085877E-3</v>
      </c>
      <c r="D10" s="64" t="s">
        <v>161</v>
      </c>
      <c r="E10" s="62" t="s">
        <v>132</v>
      </c>
    </row>
    <row r="11" spans="1:29" ht="39" x14ac:dyDescent="0.25">
      <c r="A11" s="35" t="s">
        <v>97</v>
      </c>
      <c r="B11" s="65" t="s">
        <v>65</v>
      </c>
      <c r="C11" s="66">
        <v>2.1241547456543866</v>
      </c>
      <c r="D11" s="64" t="s">
        <v>162</v>
      </c>
      <c r="E11" s="62" t="s">
        <v>139</v>
      </c>
    </row>
    <row r="12" spans="1:29" ht="39" x14ac:dyDescent="0.25">
      <c r="A12" s="35" t="s">
        <v>69</v>
      </c>
      <c r="B12" s="65" t="s">
        <v>66</v>
      </c>
      <c r="C12" s="67">
        <v>14.956055555555556</v>
      </c>
      <c r="D12" s="64" t="s">
        <v>163</v>
      </c>
      <c r="E12" s="62" t="s">
        <v>144</v>
      </c>
    </row>
  </sheetData>
  <conditionalFormatting sqref="B2">
    <cfRule type="expression" dxfId="2" priority="1" stopIfTrue="1">
      <formula>$AC2=1</formula>
    </cfRule>
    <cfRule type="expression" dxfId="1" priority="2" stopIfTrue="1">
      <formula>$AC2=2</formula>
    </cfRule>
    <cfRule type="expression" dxfId="0" priority="3" stopIfTrue="1">
      <formula>$AC2=10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Лист1. База</vt:lpstr>
      <vt:lpstr>Лист2. Расчет К1-8</vt:lpstr>
      <vt:lpstr>Лист3. Шкала</vt:lpstr>
      <vt:lpstr>Лист4. Классификация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Черепанов Тимур Владимирович</dc:creator>
  <cp:lastModifiedBy>Светлана</cp:lastModifiedBy>
  <dcterms:created xsi:type="dcterms:W3CDTF">2019-05-27T08:46:02Z</dcterms:created>
  <dcterms:modified xsi:type="dcterms:W3CDTF">2020-06-22T18:17:55Z</dcterms:modified>
</cp:coreProperties>
</file>